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geetha\Downloads\"/>
    </mc:Choice>
  </mc:AlternateContent>
  <xr:revisionPtr revIDLastSave="0" documentId="13_ncr:1_{29D5B182-D2F2-4FAD-8272-927BF49C97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VER SKIP DETAILS " sheetId="1" r:id="rId1"/>
    <sheet name="XI B (100)" sheetId="2" r:id="rId2"/>
    <sheet name="XI B ANALYSIS" sheetId="3" r:id="rId3"/>
    <sheet name="Sheet1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Nstr6HByy3YYuymM1PrEEd6sGLzYbbRtexbj8oRa+c="/>
    </ext>
  </extLst>
</workbook>
</file>

<file path=xl/calcChain.xml><?xml version="1.0" encoding="utf-8"?>
<calcChain xmlns="http://schemas.openxmlformats.org/spreadsheetml/2006/main">
  <c r="J43" i="2" l="1"/>
  <c r="H43" i="2"/>
  <c r="G43" i="2"/>
  <c r="F43" i="2"/>
  <c r="J42" i="2"/>
  <c r="I42" i="2"/>
  <c r="H42" i="2"/>
  <c r="G42" i="2"/>
  <c r="F42" i="2"/>
  <c r="E42" i="2"/>
  <c r="D42" i="2"/>
  <c r="A42" i="2"/>
  <c r="J41" i="2"/>
  <c r="I41" i="2"/>
  <c r="H41" i="2"/>
  <c r="G41" i="2"/>
  <c r="F41" i="2"/>
  <c r="E41" i="2"/>
  <c r="D41" i="2"/>
  <c r="B41" i="2"/>
  <c r="A41" i="2"/>
  <c r="I40" i="2"/>
  <c r="H40" i="2"/>
  <c r="G40" i="2"/>
  <c r="F40" i="2"/>
  <c r="E40" i="2"/>
  <c r="D40" i="2"/>
  <c r="B40" i="2"/>
  <c r="A40" i="2"/>
  <c r="J39" i="2"/>
  <c r="I39" i="2"/>
  <c r="H39" i="2"/>
  <c r="G39" i="2"/>
  <c r="F39" i="2"/>
  <c r="E39" i="2"/>
  <c r="D39" i="2"/>
  <c r="B39" i="2"/>
  <c r="A39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<sst xmlns="http://schemas.openxmlformats.org/spreadsheetml/2006/main" count="247" uniqueCount="213">
  <si>
    <t>ZION MATRIC HIGHER SECONDARY SCHOOL - SEMBAKKAM (2026-27)</t>
  </si>
  <si>
    <t xml:space="preserve">NEVERSKIP &amp; EMIS - DATA ENTRY DETAILS </t>
  </si>
  <si>
    <t>FIRST NAME</t>
  </si>
  <si>
    <t>LAST NAME</t>
  </si>
  <si>
    <t>FATHER MAIL</t>
  </si>
  <si>
    <t>GENDER</t>
  </si>
  <si>
    <t>DATE OF BIRTH</t>
  </si>
  <si>
    <t>BLOOD GROUP</t>
  </si>
  <si>
    <t>NATIONALITY</t>
  </si>
  <si>
    <t>RELIGION</t>
  </si>
  <si>
    <t>CASTE</t>
  </si>
  <si>
    <t>MOTHER TONGUE</t>
  </si>
  <si>
    <t>IDENTIFICATION MARK 1</t>
  </si>
  <si>
    <t>IDENTIFICATION MARK 2</t>
  </si>
  <si>
    <t>DISABILITY STATUS</t>
  </si>
  <si>
    <t>DISABILITY TYPE</t>
  </si>
  <si>
    <t>EMERGENCY CONTACT NO</t>
  </si>
  <si>
    <t>FATHER FIRST NAME</t>
  </si>
  <si>
    <t>FATHER LAST NAME</t>
  </si>
  <si>
    <t>FATHER QUALIFICATION</t>
  </si>
  <si>
    <t>FATHER OCCUPATION</t>
  </si>
  <si>
    <t>FATHER ANNUAL INCOME</t>
  </si>
  <si>
    <t>FATHER MOBILE NO</t>
  </si>
  <si>
    <t>MOTHER FIRST NAME</t>
  </si>
  <si>
    <t>MOTHER LAST NAME</t>
  </si>
  <si>
    <t>MOTHER QUALIFICATION</t>
  </si>
  <si>
    <t>MOTHER OCCUPATION</t>
  </si>
  <si>
    <t>MOTHER ANNUAL INCOME</t>
  </si>
  <si>
    <t>MOTHER MOBILE NO</t>
  </si>
  <si>
    <t>MOTHER EMAIL ID</t>
  </si>
  <si>
    <t>CAMPUS</t>
  </si>
  <si>
    <t>ADMISSION NUMBER</t>
  </si>
  <si>
    <t>DATE OF ADMISSION</t>
  </si>
  <si>
    <t>CLASS ENTITY</t>
  </si>
  <si>
    <t xml:space="preserve">XII </t>
  </si>
  <si>
    <t>SECTION</t>
  </si>
  <si>
    <t>B</t>
  </si>
  <si>
    <t>STREAM</t>
  </si>
  <si>
    <t>XII - Std</t>
  </si>
  <si>
    <t>PROGRAMME</t>
  </si>
  <si>
    <t xml:space="preserve">HIGHER SECONDARY </t>
  </si>
  <si>
    <t>ROLL NUMBER</t>
  </si>
  <si>
    <t>ADMISSION TYPE</t>
  </si>
  <si>
    <t xml:space="preserve">REGULAR </t>
  </si>
  <si>
    <t>MODE OF STUDY</t>
  </si>
  <si>
    <t xml:space="preserve">ENGLISH </t>
  </si>
  <si>
    <t>DATE OF LEAVING</t>
  </si>
  <si>
    <t xml:space="preserve">not applicable </t>
  </si>
  <si>
    <t>PREVIOUS INSTITUTION NAME</t>
  </si>
  <si>
    <t>PREVIOUS INSTITUTION LOCATION</t>
  </si>
  <si>
    <t>PREVIOUS INSTITUTION YEAR</t>
  </si>
  <si>
    <t>UDISE_NUMBER</t>
  </si>
  <si>
    <t>PEN_NUMBER</t>
  </si>
  <si>
    <t>EMIS_NUMBER</t>
  </si>
  <si>
    <t>STUDENT SCHOOL EMAIL ID</t>
  </si>
  <si>
    <t>ADDRESS</t>
  </si>
  <si>
    <t>STUDENT AADHAR NO</t>
  </si>
  <si>
    <t>ACC YEAR</t>
  </si>
  <si>
    <t>2026-2027</t>
  </si>
  <si>
    <t>HEIGHT (CM)</t>
  </si>
  <si>
    <t>WEIGHT (KG)</t>
  </si>
  <si>
    <t>BIRTH CERTIFICATE NO</t>
  </si>
  <si>
    <t>TRANSPORT MODE</t>
  </si>
  <si>
    <t xml:space="preserve">SCHOOL BUS NO / PRIVATE VAN / AUTO / BICYCLE / BY WALK </t>
  </si>
  <si>
    <t>S. NO</t>
  </si>
  <si>
    <t>EXAM NO.</t>
  </si>
  <si>
    <t>NAME OF THE STUDENT</t>
  </si>
  <si>
    <t>TAM
(100)</t>
  </si>
  <si>
    <t>ENG
(100)</t>
  </si>
  <si>
    <t>MAT
(100)</t>
  </si>
  <si>
    <t>PHY
(100)</t>
  </si>
  <si>
    <t>CHE
(100)</t>
  </si>
  <si>
    <t>BIO
(100)</t>
  </si>
  <si>
    <t>TOTAL
(600)</t>
  </si>
  <si>
    <t>RANK</t>
  </si>
  <si>
    <t>AVG</t>
  </si>
  <si>
    <t>Att (107)</t>
  </si>
  <si>
    <t>11B01</t>
  </si>
  <si>
    <t>AKHILESH S</t>
  </si>
  <si>
    <t>11B02</t>
  </si>
  <si>
    <t>ANDREWS J</t>
  </si>
  <si>
    <t>11B03</t>
  </si>
  <si>
    <t>ANISH KUMAR A</t>
  </si>
  <si>
    <t>11B04</t>
  </si>
  <si>
    <t>BALA ARAVIND N</t>
  </si>
  <si>
    <t>11B05</t>
  </si>
  <si>
    <t>JESHWIN BENNET A</t>
  </si>
  <si>
    <t>11B06</t>
  </si>
  <si>
    <t>RAJESH KUMAR S</t>
  </si>
  <si>
    <t>FAIL</t>
  </si>
  <si>
    <t>11B07</t>
  </si>
  <si>
    <t>YUVAN KUMAR N</t>
  </si>
  <si>
    <t>11B08</t>
  </si>
  <si>
    <t>LAMBERT JACOB KUMAR A (F)</t>
  </si>
  <si>
    <t>11B09</t>
  </si>
  <si>
    <t>BHAVANA R</t>
  </si>
  <si>
    <t>11B10</t>
  </si>
  <si>
    <t>GOMATHY M</t>
  </si>
  <si>
    <t>11B11</t>
  </si>
  <si>
    <t>HANNAH MICHELLE D</t>
  </si>
  <si>
    <t>11B12</t>
  </si>
  <si>
    <t>JAHNAVI R</t>
  </si>
  <si>
    <t>11B13</t>
  </si>
  <si>
    <t>KEERTHANA G</t>
  </si>
  <si>
    <t>11B14</t>
  </si>
  <si>
    <t>MADHUMITHA S</t>
  </si>
  <si>
    <t>11B15</t>
  </si>
  <si>
    <t>MIRUTHULA R</t>
  </si>
  <si>
    <t>11B16</t>
  </si>
  <si>
    <t>MONIKA K</t>
  </si>
  <si>
    <t>11B17</t>
  </si>
  <si>
    <t>NIHA MERZA N</t>
  </si>
  <si>
    <t>11B18</t>
  </si>
  <si>
    <t>RARELIN ROSE R</t>
  </si>
  <si>
    <t>11B19</t>
  </si>
  <si>
    <t>SATHANA S</t>
  </si>
  <si>
    <t>11B20</t>
  </si>
  <si>
    <t>SRINISHA A</t>
  </si>
  <si>
    <t>11B21</t>
  </si>
  <si>
    <t>VARSHINI S</t>
  </si>
  <si>
    <t>11B22</t>
  </si>
  <si>
    <t>VELASHINI S</t>
  </si>
  <si>
    <t>11B23</t>
  </si>
  <si>
    <t>VIYANMATHI V</t>
  </si>
  <si>
    <t>11B24</t>
  </si>
  <si>
    <t>DHANUSRI S R (F)</t>
  </si>
  <si>
    <t>11B25</t>
  </si>
  <si>
    <t>JEEVITHA SHALLY S (F)</t>
  </si>
  <si>
    <t>11B26</t>
  </si>
  <si>
    <t>KEERTHANA P (F)</t>
  </si>
  <si>
    <t>11B27</t>
  </si>
  <si>
    <t>KEERTHANA R (F)</t>
  </si>
  <si>
    <t>11B28</t>
  </si>
  <si>
    <t>MAITREYA M R (F)</t>
  </si>
  <si>
    <t>AB</t>
  </si>
  <si>
    <t>FREN
(50)</t>
  </si>
  <si>
    <t>FREN
(100)</t>
  </si>
  <si>
    <t xml:space="preserve">ANALYSIS </t>
  </si>
  <si>
    <r>
      <rPr>
        <b/>
        <sz val="9"/>
        <color theme="1"/>
        <rFont val="Times New Roman"/>
      </rPr>
      <t>NO. ON ROLL :</t>
    </r>
  </si>
  <si>
    <r>
      <rPr>
        <b/>
        <sz val="9"/>
        <color theme="1"/>
        <rFont val="Times New Roman"/>
      </rPr>
      <t>NO. PRESENT :</t>
    </r>
  </si>
  <si>
    <t>NIL</t>
  </si>
  <si>
    <r>
      <rPr>
        <b/>
        <sz val="9"/>
        <color theme="1"/>
        <rFont val="Times New Roman"/>
      </rPr>
      <t>NO. ABSENT :</t>
    </r>
  </si>
  <si>
    <r>
      <rPr>
        <b/>
        <sz val="9"/>
        <color theme="1"/>
        <rFont val="Times New Roman"/>
      </rPr>
      <t>NO. PASSED :</t>
    </r>
  </si>
  <si>
    <t>NO. FAILED :</t>
  </si>
  <si>
    <t>HIGHEST MARK :</t>
  </si>
  <si>
    <t>LOWEST MARK :</t>
  </si>
  <si>
    <t>SUBJECT AVG :</t>
  </si>
  <si>
    <t xml:space="preserve">PASS PERCENTAGE </t>
  </si>
  <si>
    <t xml:space="preserve">FAIL PERCENTAGE </t>
  </si>
  <si>
    <t>ZION MATRIC HR SEC SCHOOL, SEMBAKKAM</t>
  </si>
  <si>
    <t>HALF YEARLY EXAM                              RESULT ANANLYSIS                        2025-2026</t>
  </si>
  <si>
    <t>CLASS: XI B</t>
  </si>
  <si>
    <t>CLASS STRENGTH -28 
 (BOYS-8, GIRLS - 20)</t>
  </si>
  <si>
    <t>C.T : MRS. S. SUPRIYA</t>
  </si>
  <si>
    <t>SUBJECT</t>
  </si>
  <si>
    <t>HIGHEST 
 (Name and Mark)</t>
  </si>
  <si>
    <t>LOWEST 
 (Name And Mark)</t>
  </si>
  <si>
    <t>NO. OF CENTUMS</t>
  </si>
  <si>
    <t>NO. OF FAILURES</t>
  </si>
  <si>
    <t>AVERAGE</t>
  </si>
  <si>
    <t>TAMIL</t>
  </si>
  <si>
    <t>NIHA MERZA N
 98/100</t>
  </si>
  <si>
    <t>RAJESH KUMAR S
 48/100</t>
  </si>
  <si>
    <t>FRENCH</t>
  </si>
  <si>
    <t>KEERTHANA R
89/100</t>
  </si>
  <si>
    <t>LAMBERT JACOB KUMAR A
61/100</t>
  </si>
  <si>
    <t>ENGLISH</t>
  </si>
  <si>
    <t>VELASHINI S
 93/100</t>
  </si>
  <si>
    <t>MONIKA K
47/100</t>
  </si>
  <si>
    <t>MATHS</t>
  </si>
  <si>
    <t>NIHA MERZA N
82/100</t>
  </si>
  <si>
    <t>RARELIN ROSE R
13/100</t>
  </si>
  <si>
    <t>PHYSICS</t>
  </si>
  <si>
    <t>VELASHINI S
 91/100</t>
  </si>
  <si>
    <t>CHEMISTRY</t>
  </si>
  <si>
    <t>VELASHINI S
 90/100</t>
  </si>
  <si>
    <t>RARELIN ROSE R
23/100</t>
  </si>
  <si>
    <t>BIOLOGY</t>
  </si>
  <si>
    <t>RARELIN ROSE R
37/100</t>
  </si>
  <si>
    <t>CLASS AVERAGE</t>
  </si>
  <si>
    <t>CLASS HIGHEST</t>
  </si>
  <si>
    <t>CLASS LOWEST</t>
  </si>
  <si>
    <t>SIGNATURE</t>
  </si>
  <si>
    <t>369/600</t>
  </si>
  <si>
    <t>VELASHINI S
542/600</t>
  </si>
  <si>
    <t>RARELIN ROSE R
192/600</t>
  </si>
  <si>
    <t>CLASS TEACHER</t>
  </si>
  <si>
    <t>PRINCIPAL :</t>
  </si>
  <si>
    <t>Jeshwin</t>
  </si>
  <si>
    <t>Bennet A</t>
  </si>
  <si>
    <t>arulbennet73d@gmail.com</t>
  </si>
  <si>
    <t>MALE</t>
  </si>
  <si>
    <t>A+</t>
  </si>
  <si>
    <t>Indian</t>
  </si>
  <si>
    <t>Christian</t>
  </si>
  <si>
    <t>BC</t>
  </si>
  <si>
    <t>Tamil</t>
  </si>
  <si>
    <t>Nil</t>
  </si>
  <si>
    <t>Mole on right hand</t>
  </si>
  <si>
    <t>mole on right ear</t>
  </si>
  <si>
    <t>9962035880/9962282881</t>
  </si>
  <si>
    <t>Arul</t>
  </si>
  <si>
    <t>Bennet D</t>
  </si>
  <si>
    <t>B.SC</t>
  </si>
  <si>
    <t>BUSINESS</t>
  </si>
  <si>
    <t>Sangeetha</t>
  </si>
  <si>
    <t>Martin</t>
  </si>
  <si>
    <t>Testing Coordinator</t>
  </si>
  <si>
    <t>sangeethaamartin82@gmail.com</t>
  </si>
  <si>
    <t>Zion matric higher secondary school sembakkam</t>
  </si>
  <si>
    <t>10, 10th cross street, thirumalai nager, sembakkam, chennai-600064</t>
  </si>
  <si>
    <t>jeshwinbennet.3587@zionschool.ac.in</t>
  </si>
  <si>
    <t>771457182369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</si>
</sst>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1"/>
      <color theme="1"/>
      <name val="Bookman Old Style"/>
    </font>
    <font>
      <sz val="10"/>
      <color theme="1"/>
      <name val="Bookman Old Style"/>
    </font>
    <font>
      <b/>
      <sz val="7"/>
      <color theme="1"/>
      <name val="Times New Roman"/>
    </font>
    <font>
      <b/>
      <sz val="9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9"/>
      <color theme="1"/>
      <name val="Calibri"/>
    </font>
    <font>
      <b/>
      <sz val="10"/>
      <color theme="1"/>
      <name val="Bookman Old Style"/>
    </font>
    <font>
      <b/>
      <sz val="11"/>
      <color theme="1"/>
      <name val="Arial"/>
    </font>
    <font>
      <sz val="11"/>
      <color rgb="FFFF0000"/>
      <name val="Arial"/>
    </font>
    <font>
      <sz val="8"/>
      <color theme="1"/>
      <name val="Calibri"/>
    </font>
    <font>
      <sz val="11"/>
      <color theme="1"/>
      <name val="Arial"/>
    </font>
    <font>
      <sz val="9"/>
      <color theme="1"/>
      <name val="Times New Roman"/>
    </font>
    <font>
      <b/>
      <sz val="10"/>
      <color theme="1"/>
      <name val="Times New Roman"/>
    </font>
    <font>
      <b/>
      <sz val="11"/>
      <color theme="1"/>
      <name val="Times New Roman"/>
    </font>
    <font>
      <b/>
      <sz val="11"/>
      <color rgb="FF0000FF"/>
      <name val="Bookman Old Style"/>
    </font>
    <font>
      <sz val="11"/>
      <color theme="1"/>
      <name val="Bookman Old Style"/>
    </font>
    <font>
      <b/>
      <sz val="13"/>
      <color theme="1"/>
      <name val="Bookman Old Style"/>
    </font>
    <font>
      <b/>
      <sz val="14"/>
      <color theme="1"/>
      <name val="Bookman Old Style"/>
    </font>
    <font>
      <b/>
      <sz val="12"/>
      <color theme="1"/>
      <name val="Bookman Old Style"/>
    </font>
    <font>
      <b/>
      <sz val="9"/>
      <color theme="1"/>
      <name val="Bookman Old Style"/>
    </font>
    <font>
      <b/>
      <sz val="8"/>
      <color theme="1"/>
      <name val="Bookman Old Style"/>
    </font>
    <font>
      <sz val="10"/>
      <color theme="1"/>
      <name val="Arial"/>
      <family val="2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BDAD7"/>
        <bgColor rgb="FFFBDAD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5" fillId="0" borderId="0" xfId="0" applyFont="1"/>
    <xf numFmtId="0" fontId="4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10" fillId="0" borderId="6" xfId="0" applyFont="1" applyBorder="1"/>
    <xf numFmtId="1" fontId="4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1" fillId="0" borderId="11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4" fillId="0" borderId="8" xfId="0" applyFont="1" applyBorder="1"/>
    <xf numFmtId="1" fontId="4" fillId="2" borderId="8" xfId="0" applyNumberFormat="1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 wrapText="1"/>
    </xf>
    <xf numFmtId="0" fontId="15" fillId="0" borderId="8" xfId="0" applyFont="1" applyBorder="1" applyAlignment="1">
      <alignment horizontal="center"/>
    </xf>
    <xf numFmtId="0" fontId="1" fillId="0" borderId="9" xfId="0" applyFont="1" applyBorder="1"/>
    <xf numFmtId="1" fontId="1" fillId="3" borderId="6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11" fillId="2" borderId="6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 wrapText="1"/>
    </xf>
    <xf numFmtId="1" fontId="11" fillId="3" borderId="6" xfId="0" applyNumberFormat="1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0" fillId="0" borderId="8" xfId="0" applyFont="1" applyBorder="1"/>
    <xf numFmtId="0" fontId="14" fillId="0" borderId="6" xfId="0" applyFont="1" applyBorder="1"/>
    <xf numFmtId="1" fontId="4" fillId="4" borderId="6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" fillId="0" borderId="8" xfId="0" applyFont="1" applyBorder="1"/>
    <xf numFmtId="0" fontId="1" fillId="5" borderId="8" xfId="0" applyFont="1" applyFill="1" applyBorder="1" applyAlignment="1">
      <alignment vertical="top"/>
    </xf>
    <xf numFmtId="0" fontId="1" fillId="0" borderId="13" xfId="0" applyFont="1" applyBorder="1"/>
    <xf numFmtId="0" fontId="1" fillId="5" borderId="13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7" fillId="0" borderId="11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17" fillId="6" borderId="11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/>
    </xf>
    <xf numFmtId="0" fontId="16" fillId="0" borderId="6" xfId="0" applyFont="1" applyBorder="1" applyAlignment="1">
      <alignment horizontal="center" wrapText="1"/>
    </xf>
    <xf numFmtId="1" fontId="18" fillId="0" borderId="11" xfId="0" applyNumberFormat="1" applyFont="1" applyBorder="1" applyAlignment="1">
      <alignment horizontal="center" wrapText="1"/>
    </xf>
    <xf numFmtId="1" fontId="18" fillId="0" borderId="6" xfId="0" applyNumberFormat="1" applyFont="1" applyBorder="1" applyAlignment="1">
      <alignment horizontal="center" wrapText="1"/>
    </xf>
    <xf numFmtId="1" fontId="7" fillId="0" borderId="6" xfId="0" applyNumberFormat="1" applyFont="1" applyBorder="1" applyAlignment="1">
      <alignment horizontal="center" wrapText="1"/>
    </xf>
    <xf numFmtId="1" fontId="8" fillId="0" borderId="11" xfId="0" applyNumberFormat="1" applyFont="1" applyBorder="1" applyAlignment="1">
      <alignment horizontal="center" wrapText="1"/>
    </xf>
    <xf numFmtId="1" fontId="16" fillId="0" borderId="8" xfId="0" applyNumberFormat="1" applyFont="1" applyBorder="1" applyAlignment="1">
      <alignment horizontal="center" wrapText="1"/>
    </xf>
    <xf numFmtId="1" fontId="18" fillId="0" borderId="9" xfId="0" applyNumberFormat="1" applyFont="1" applyBorder="1" applyAlignment="1">
      <alignment horizontal="center" wrapText="1"/>
    </xf>
    <xf numFmtId="1" fontId="18" fillId="0" borderId="8" xfId="0" applyNumberFormat="1" applyFont="1" applyBorder="1" applyAlignment="1">
      <alignment horizontal="center" wrapText="1"/>
    </xf>
    <xf numFmtId="1" fontId="12" fillId="0" borderId="8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1" fillId="0" borderId="0" xfId="0" applyFont="1"/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9" fillId="0" borderId="13" xfId="0" applyFont="1" applyBorder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20" fillId="0" borderId="0" xfId="0" applyFont="1"/>
    <xf numFmtId="0" fontId="22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 wrapText="1"/>
    </xf>
    <xf numFmtId="0" fontId="4" fillId="0" borderId="7" xfId="0" applyFont="1" applyBorder="1"/>
    <xf numFmtId="0" fontId="4" fillId="7" borderId="7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25" fillId="0" borderId="6" xfId="0" applyFont="1" applyBorder="1" applyAlignment="1">
      <alignment wrapText="1"/>
    </xf>
    <xf numFmtId="0" fontId="25" fillId="0" borderId="6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16" fillId="0" borderId="4" xfId="0" applyFont="1" applyBorder="1" applyAlignment="1">
      <alignment horizontal="center" wrapText="1"/>
    </xf>
    <xf numFmtId="0" fontId="3" fillId="0" borderId="6" xfId="0" applyFont="1" applyBorder="1"/>
    <xf numFmtId="0" fontId="17" fillId="6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11" xfId="0" applyFont="1" applyBorder="1"/>
    <xf numFmtId="0" fontId="12" fillId="6" borderId="4" xfId="0" applyFont="1" applyFill="1" applyBorder="1" applyAlignment="1">
      <alignment horizontal="center"/>
    </xf>
    <xf numFmtId="1" fontId="18" fillId="0" borderId="4" xfId="0" applyNumberFormat="1" applyFont="1" applyBorder="1" applyAlignment="1">
      <alignment horizontal="center" wrapText="1"/>
    </xf>
    <xf numFmtId="1" fontId="18" fillId="0" borderId="13" xfId="0" applyNumberFormat="1" applyFont="1" applyBorder="1" applyAlignment="1">
      <alignment horizontal="center" wrapText="1"/>
    </xf>
    <xf numFmtId="0" fontId="3" fillId="0" borderId="13" xfId="0" applyFont="1" applyBorder="1"/>
    <xf numFmtId="0" fontId="3" fillId="0" borderId="9" xfId="0" applyFont="1" applyBorder="1"/>
    <xf numFmtId="1" fontId="12" fillId="0" borderId="1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4" fillId="7" borderId="4" xfId="0" applyFont="1" applyFill="1" applyBorder="1" applyAlignment="1">
      <alignment horizontal="center"/>
    </xf>
    <xf numFmtId="0" fontId="1" fillId="0" borderId="4" xfId="0" applyFont="1" applyBorder="1"/>
    <xf numFmtId="0" fontId="4" fillId="0" borderId="2" xfId="0" applyFont="1" applyBorder="1" applyAlignment="1">
      <alignment horizontal="center"/>
    </xf>
    <xf numFmtId="0" fontId="3" fillId="0" borderId="14" xfId="0" applyFont="1" applyBorder="1"/>
    <xf numFmtId="0" fontId="21" fillId="0" borderId="5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7" xfId="0" applyFont="1" applyBorder="1"/>
    <xf numFmtId="0" fontId="4" fillId="0" borderId="10" xfId="0" applyFont="1" applyBorder="1" applyAlignment="1">
      <alignment horizontal="center"/>
    </xf>
    <xf numFmtId="0" fontId="27" fillId="0" borderId="1" xfId="1" applyBorder="1"/>
    <xf numFmtId="14" fontId="1" fillId="0" borderId="1" xfId="0" applyNumberFormat="1" applyFont="1" applyBorder="1"/>
    <xf numFmtId="49" fontId="26" fillId="0" borderId="1" xfId="0" applyNumberFormat="1" applyFont="1" applyBorder="1"/>
  </cellXfs>
  <cellStyles count="2">
    <cellStyle name="Hyperlink" xfId="1" builtinId="8"/>
    <cellStyle name="Normal" xfId="0" builtinId="0"/>
  </cellStyles>
  <dxfs count="1">
    <dxf>
      <font>
        <b/>
        <color rgb="FFC5392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shwinbennet.3587@zionschool.ac.in" TargetMode="External"/><Relationship Id="rId2" Type="http://schemas.openxmlformats.org/officeDocument/2006/relationships/hyperlink" Target="mailto:sangeethaamartin82@gmail.com" TargetMode="External"/><Relationship Id="rId1" Type="http://schemas.openxmlformats.org/officeDocument/2006/relationships/hyperlink" Target="mailto:arulbennet73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C58"/>
  <sheetViews>
    <sheetView tabSelected="1" topLeftCell="A34" workbookViewId="0">
      <selection activeCell="C56" sqref="C56"/>
    </sheetView>
  </sheetViews>
  <sheetFormatPr defaultColWidth="12.6328125" defaultRowHeight="15" customHeight="1" x14ac:dyDescent="0.25"/>
  <cols>
    <col min="1" max="1" width="4.90625" customWidth="1"/>
    <col min="2" max="2" width="33.90625" customWidth="1"/>
    <col min="3" max="3" width="93" customWidth="1"/>
  </cols>
  <sheetData>
    <row r="3" spans="1:3" x14ac:dyDescent="0.3">
      <c r="A3" s="1"/>
      <c r="B3" s="83" t="s">
        <v>0</v>
      </c>
      <c r="C3" s="84"/>
    </row>
    <row r="4" spans="1:3" x14ac:dyDescent="0.3">
      <c r="A4" s="1"/>
      <c r="B4" s="83" t="s">
        <v>1</v>
      </c>
      <c r="C4" s="84"/>
    </row>
    <row r="5" spans="1:3" ht="15" customHeight="1" x14ac:dyDescent="0.25">
      <c r="A5" s="1"/>
      <c r="B5" s="1"/>
      <c r="C5" s="1"/>
    </row>
    <row r="6" spans="1:3" ht="15" customHeight="1" x14ac:dyDescent="0.25">
      <c r="A6" s="2">
        <v>1</v>
      </c>
      <c r="B6" s="1" t="s">
        <v>2</v>
      </c>
      <c r="C6" s="1" t="s">
        <v>188</v>
      </c>
    </row>
    <row r="7" spans="1:3" ht="15" customHeight="1" x14ac:dyDescent="0.25">
      <c r="A7" s="2">
        <v>2</v>
      </c>
      <c r="B7" s="1" t="s">
        <v>3</v>
      </c>
      <c r="C7" s="1" t="s">
        <v>189</v>
      </c>
    </row>
    <row r="8" spans="1:3" ht="15" customHeight="1" x14ac:dyDescent="0.25">
      <c r="A8" s="2">
        <v>3</v>
      </c>
      <c r="B8" s="1" t="s">
        <v>4</v>
      </c>
      <c r="C8" s="110" t="s">
        <v>190</v>
      </c>
    </row>
    <row r="9" spans="1:3" ht="15" customHeight="1" x14ac:dyDescent="0.25">
      <c r="A9" s="2">
        <v>4</v>
      </c>
      <c r="B9" s="1" t="s">
        <v>5</v>
      </c>
      <c r="C9" s="1" t="s">
        <v>191</v>
      </c>
    </row>
    <row r="10" spans="1:3" ht="15" customHeight="1" x14ac:dyDescent="0.25">
      <c r="A10" s="2">
        <v>5</v>
      </c>
      <c r="B10" s="1" t="s">
        <v>6</v>
      </c>
      <c r="C10" s="111">
        <v>40171</v>
      </c>
    </row>
    <row r="11" spans="1:3" ht="15" customHeight="1" x14ac:dyDescent="0.25">
      <c r="A11" s="2">
        <v>6</v>
      </c>
      <c r="B11" s="1" t="s">
        <v>7</v>
      </c>
      <c r="C11" s="1" t="s">
        <v>192</v>
      </c>
    </row>
    <row r="12" spans="1:3" ht="15" customHeight="1" x14ac:dyDescent="0.25">
      <c r="A12" s="2">
        <v>7</v>
      </c>
      <c r="B12" s="1" t="s">
        <v>8</v>
      </c>
      <c r="C12" s="1" t="s">
        <v>193</v>
      </c>
    </row>
    <row r="13" spans="1:3" ht="15" customHeight="1" x14ac:dyDescent="0.25">
      <c r="A13" s="2">
        <v>8</v>
      </c>
      <c r="B13" s="1" t="s">
        <v>9</v>
      </c>
      <c r="C13" s="1" t="s">
        <v>194</v>
      </c>
    </row>
    <row r="14" spans="1:3" ht="15" customHeight="1" x14ac:dyDescent="0.25">
      <c r="A14" s="2">
        <v>9</v>
      </c>
      <c r="B14" s="1" t="s">
        <v>10</v>
      </c>
      <c r="C14" s="1" t="s">
        <v>195</v>
      </c>
    </row>
    <row r="15" spans="1:3" ht="15" customHeight="1" x14ac:dyDescent="0.25">
      <c r="A15" s="2">
        <v>10</v>
      </c>
      <c r="B15" s="1" t="s">
        <v>11</v>
      </c>
      <c r="C15" s="1" t="s">
        <v>196</v>
      </c>
    </row>
    <row r="16" spans="1:3" ht="15" customHeight="1" x14ac:dyDescent="0.25">
      <c r="A16" s="2">
        <v>11</v>
      </c>
      <c r="B16" s="1" t="s">
        <v>12</v>
      </c>
      <c r="C16" s="1" t="s">
        <v>198</v>
      </c>
    </row>
    <row r="17" spans="1:3" ht="15" customHeight="1" x14ac:dyDescent="0.25">
      <c r="A17" s="2">
        <v>12</v>
      </c>
      <c r="B17" s="1" t="s">
        <v>13</v>
      </c>
      <c r="C17" s="1" t="s">
        <v>199</v>
      </c>
    </row>
    <row r="18" spans="1:3" ht="15" customHeight="1" x14ac:dyDescent="0.25">
      <c r="A18" s="2">
        <v>13</v>
      </c>
      <c r="B18" s="1" t="s">
        <v>14</v>
      </c>
      <c r="C18" s="1" t="s">
        <v>197</v>
      </c>
    </row>
    <row r="19" spans="1:3" ht="15" customHeight="1" x14ac:dyDescent="0.25">
      <c r="A19" s="2">
        <v>14</v>
      </c>
      <c r="B19" s="1" t="s">
        <v>15</v>
      </c>
      <c r="C19" s="1" t="s">
        <v>197</v>
      </c>
    </row>
    <row r="20" spans="1:3" ht="15" customHeight="1" x14ac:dyDescent="0.25">
      <c r="A20" s="2">
        <v>15</v>
      </c>
      <c r="B20" s="1" t="s">
        <v>16</v>
      </c>
      <c r="C20" s="1" t="s">
        <v>200</v>
      </c>
    </row>
    <row r="21" spans="1:3" ht="15" customHeight="1" x14ac:dyDescent="0.25">
      <c r="A21" s="2">
        <v>16</v>
      </c>
      <c r="B21" s="1" t="s">
        <v>17</v>
      </c>
      <c r="C21" s="1" t="s">
        <v>201</v>
      </c>
    </row>
    <row r="22" spans="1:3" ht="15" customHeight="1" x14ac:dyDescent="0.25">
      <c r="A22" s="2">
        <v>17</v>
      </c>
      <c r="B22" s="1" t="s">
        <v>18</v>
      </c>
      <c r="C22" s="1" t="s">
        <v>202</v>
      </c>
    </row>
    <row r="23" spans="1:3" ht="15" customHeight="1" x14ac:dyDescent="0.25">
      <c r="A23" s="2">
        <v>18</v>
      </c>
      <c r="B23" s="1" t="s">
        <v>19</v>
      </c>
      <c r="C23" s="1" t="s">
        <v>203</v>
      </c>
    </row>
    <row r="24" spans="1:3" ht="15" customHeight="1" x14ac:dyDescent="0.25">
      <c r="A24" s="2">
        <v>19</v>
      </c>
      <c r="B24" s="1" t="s">
        <v>20</v>
      </c>
      <c r="C24" s="1" t="s">
        <v>204</v>
      </c>
    </row>
    <row r="25" spans="1:3" ht="12.5" x14ac:dyDescent="0.25">
      <c r="A25" s="2">
        <v>20</v>
      </c>
      <c r="B25" s="1" t="s">
        <v>21</v>
      </c>
      <c r="C25" s="1">
        <v>500000</v>
      </c>
    </row>
    <row r="26" spans="1:3" ht="12.5" x14ac:dyDescent="0.25">
      <c r="A26" s="2">
        <v>21</v>
      </c>
      <c r="B26" s="1" t="s">
        <v>22</v>
      </c>
      <c r="C26" s="1">
        <v>9962282881</v>
      </c>
    </row>
    <row r="27" spans="1:3" ht="12.5" x14ac:dyDescent="0.25">
      <c r="A27" s="2">
        <v>22</v>
      </c>
      <c r="B27" s="1" t="s">
        <v>23</v>
      </c>
      <c r="C27" s="1" t="s">
        <v>205</v>
      </c>
    </row>
    <row r="28" spans="1:3" ht="12.5" x14ac:dyDescent="0.25">
      <c r="A28" s="2">
        <v>23</v>
      </c>
      <c r="B28" s="1" t="s">
        <v>24</v>
      </c>
      <c r="C28" s="1" t="s">
        <v>206</v>
      </c>
    </row>
    <row r="29" spans="1:3" ht="12.5" x14ac:dyDescent="0.25">
      <c r="A29" s="2">
        <v>24</v>
      </c>
      <c r="B29" s="1" t="s">
        <v>25</v>
      </c>
      <c r="C29" s="1" t="s">
        <v>203</v>
      </c>
    </row>
    <row r="30" spans="1:3" ht="12.5" x14ac:dyDescent="0.25">
      <c r="A30" s="2">
        <v>25</v>
      </c>
      <c r="B30" s="1" t="s">
        <v>26</v>
      </c>
      <c r="C30" s="1" t="s">
        <v>207</v>
      </c>
    </row>
    <row r="31" spans="1:3" ht="12.5" x14ac:dyDescent="0.25">
      <c r="A31" s="2">
        <v>26</v>
      </c>
      <c r="B31" s="1" t="s">
        <v>27</v>
      </c>
      <c r="C31" s="1">
        <v>500000</v>
      </c>
    </row>
    <row r="32" spans="1:3" ht="12.5" x14ac:dyDescent="0.25">
      <c r="A32" s="2">
        <v>27</v>
      </c>
      <c r="B32" s="1" t="s">
        <v>28</v>
      </c>
      <c r="C32" s="1">
        <v>9962035880</v>
      </c>
    </row>
    <row r="33" spans="1:3" ht="12.5" x14ac:dyDescent="0.25">
      <c r="A33" s="2">
        <v>28</v>
      </c>
      <c r="B33" s="1" t="s">
        <v>29</v>
      </c>
      <c r="C33" s="110" t="s">
        <v>208</v>
      </c>
    </row>
    <row r="34" spans="1:3" ht="12.5" x14ac:dyDescent="0.25">
      <c r="A34" s="2">
        <v>29</v>
      </c>
      <c r="B34" s="1" t="s">
        <v>30</v>
      </c>
      <c r="C34" s="1" t="s">
        <v>209</v>
      </c>
    </row>
    <row r="35" spans="1:3" ht="12.5" x14ac:dyDescent="0.25">
      <c r="A35" s="2">
        <v>30</v>
      </c>
      <c r="B35" s="1" t="s">
        <v>31</v>
      </c>
      <c r="C35" s="1">
        <v>3587</v>
      </c>
    </row>
    <row r="36" spans="1:3" ht="12.5" x14ac:dyDescent="0.25">
      <c r="A36" s="2">
        <v>31</v>
      </c>
      <c r="B36" s="1" t="s">
        <v>32</v>
      </c>
      <c r="C36" s="111">
        <v>41000</v>
      </c>
    </row>
    <row r="37" spans="1:3" ht="12.5" x14ac:dyDescent="0.25">
      <c r="A37" s="2">
        <v>32</v>
      </c>
      <c r="B37" s="1" t="s">
        <v>33</v>
      </c>
      <c r="C37" s="1" t="s">
        <v>34</v>
      </c>
    </row>
    <row r="38" spans="1:3" ht="12.5" x14ac:dyDescent="0.25">
      <c r="A38" s="2">
        <v>33</v>
      </c>
      <c r="B38" s="1" t="s">
        <v>35</v>
      </c>
      <c r="C38" s="1" t="s">
        <v>36</v>
      </c>
    </row>
    <row r="39" spans="1:3" ht="12.5" x14ac:dyDescent="0.25">
      <c r="A39" s="2">
        <v>34</v>
      </c>
      <c r="B39" s="1" t="s">
        <v>37</v>
      </c>
      <c r="C39" s="1" t="s">
        <v>38</v>
      </c>
    </row>
    <row r="40" spans="1:3" ht="12.5" x14ac:dyDescent="0.25">
      <c r="A40" s="2">
        <v>35</v>
      </c>
      <c r="B40" s="1" t="s">
        <v>39</v>
      </c>
      <c r="C40" s="1" t="s">
        <v>40</v>
      </c>
    </row>
    <row r="41" spans="1:3" ht="12.5" x14ac:dyDescent="0.25">
      <c r="A41" s="2">
        <v>36</v>
      </c>
      <c r="B41" s="1" t="s">
        <v>41</v>
      </c>
      <c r="C41" s="1">
        <v>5</v>
      </c>
    </row>
    <row r="42" spans="1:3" ht="12.5" x14ac:dyDescent="0.25">
      <c r="A42" s="2">
        <v>37</v>
      </c>
      <c r="B42" s="1" t="s">
        <v>42</v>
      </c>
      <c r="C42" s="1" t="s">
        <v>43</v>
      </c>
    </row>
    <row r="43" spans="1:3" ht="12.5" x14ac:dyDescent="0.25">
      <c r="A43" s="2">
        <v>38</v>
      </c>
      <c r="B43" s="1" t="s">
        <v>44</v>
      </c>
      <c r="C43" s="1" t="s">
        <v>45</v>
      </c>
    </row>
    <row r="44" spans="1:3" ht="12.5" x14ac:dyDescent="0.25">
      <c r="A44" s="2">
        <v>39</v>
      </c>
      <c r="B44" s="1" t="s">
        <v>46</v>
      </c>
      <c r="C44" s="1" t="s">
        <v>47</v>
      </c>
    </row>
    <row r="45" spans="1:3" ht="12.5" x14ac:dyDescent="0.25">
      <c r="A45" s="2">
        <v>40</v>
      </c>
      <c r="B45" s="1" t="s">
        <v>48</v>
      </c>
      <c r="C45" s="1"/>
    </row>
    <row r="46" spans="1:3" ht="12.5" x14ac:dyDescent="0.25">
      <c r="A46" s="2">
        <v>41</v>
      </c>
      <c r="B46" s="1" t="s">
        <v>49</v>
      </c>
      <c r="C46" s="1"/>
    </row>
    <row r="47" spans="1:3" ht="12.5" x14ac:dyDescent="0.25">
      <c r="A47" s="2">
        <v>42</v>
      </c>
      <c r="B47" s="1" t="s">
        <v>50</v>
      </c>
      <c r="C47" s="1"/>
    </row>
    <row r="48" spans="1:3" ht="12.5" x14ac:dyDescent="0.25">
      <c r="A48" s="2">
        <v>43</v>
      </c>
      <c r="B48" s="1" t="s">
        <v>51</v>
      </c>
      <c r="C48" s="1"/>
    </row>
    <row r="49" spans="1:3" ht="12.5" x14ac:dyDescent="0.25">
      <c r="A49" s="2">
        <v>44</v>
      </c>
      <c r="B49" s="1" t="s">
        <v>52</v>
      </c>
      <c r="C49" s="1"/>
    </row>
    <row r="50" spans="1:3" ht="12.5" x14ac:dyDescent="0.25">
      <c r="A50" s="2">
        <v>45</v>
      </c>
      <c r="B50" s="1" t="s">
        <v>53</v>
      </c>
      <c r="C50" s="1">
        <v>2015207765</v>
      </c>
    </row>
    <row r="51" spans="1:3" ht="12.5" x14ac:dyDescent="0.25">
      <c r="A51" s="2">
        <v>46</v>
      </c>
      <c r="B51" s="1" t="s">
        <v>54</v>
      </c>
      <c r="C51" s="110" t="s">
        <v>211</v>
      </c>
    </row>
    <row r="52" spans="1:3" ht="12.5" x14ac:dyDescent="0.25">
      <c r="A52" s="2">
        <v>47</v>
      </c>
      <c r="B52" s="1" t="s">
        <v>55</v>
      </c>
      <c r="C52" s="1" t="s">
        <v>210</v>
      </c>
    </row>
    <row r="53" spans="1:3" ht="12.5" x14ac:dyDescent="0.25">
      <c r="A53" s="2">
        <v>48</v>
      </c>
      <c r="B53" s="1" t="s">
        <v>56</v>
      </c>
      <c r="C53" s="112" t="s">
        <v>212</v>
      </c>
    </row>
    <row r="54" spans="1:3" ht="12.5" x14ac:dyDescent="0.25">
      <c r="A54" s="2">
        <v>49</v>
      </c>
      <c r="B54" s="1" t="s">
        <v>57</v>
      </c>
      <c r="C54" s="1" t="s">
        <v>58</v>
      </c>
    </row>
    <row r="55" spans="1:3" ht="12.5" x14ac:dyDescent="0.25">
      <c r="A55" s="2">
        <v>50</v>
      </c>
      <c r="B55" s="1" t="s">
        <v>59</v>
      </c>
      <c r="C55" s="1">
        <v>179</v>
      </c>
    </row>
    <row r="56" spans="1:3" ht="12.5" x14ac:dyDescent="0.25">
      <c r="A56" s="2">
        <v>51</v>
      </c>
      <c r="B56" s="1" t="s">
        <v>60</v>
      </c>
      <c r="C56" s="1">
        <v>68</v>
      </c>
    </row>
    <row r="57" spans="1:3" ht="12.5" x14ac:dyDescent="0.25">
      <c r="A57" s="2">
        <v>52</v>
      </c>
      <c r="B57" s="1" t="s">
        <v>61</v>
      </c>
      <c r="C57" s="1"/>
    </row>
    <row r="58" spans="1:3" ht="12.5" x14ac:dyDescent="0.25">
      <c r="A58" s="2">
        <v>53</v>
      </c>
      <c r="B58" s="1" t="s">
        <v>62</v>
      </c>
      <c r="C58" s="1" t="s">
        <v>63</v>
      </c>
    </row>
  </sheetData>
  <mergeCells count="2">
    <mergeCell ref="B3:C3"/>
    <mergeCell ref="B4:C4"/>
  </mergeCells>
  <hyperlinks>
    <hyperlink ref="C8" r:id="rId1" xr:uid="{26D93E2C-BB16-4D53-958B-E8D32EB225DF}"/>
    <hyperlink ref="C33" r:id="rId2" xr:uid="{518DB02D-EBC7-4ECB-A9F6-E4B294849384}"/>
    <hyperlink ref="C51" r:id="rId3" xr:uid="{5192DD45-5804-4A9C-9600-8F5ECD9213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1000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10.90625" customWidth="1"/>
    <col min="3" max="3" width="23.6328125" customWidth="1"/>
    <col min="4" max="9" width="5.36328125" customWidth="1"/>
    <col min="10" max="10" width="9.26953125" customWidth="1"/>
    <col min="11" max="11" width="6" customWidth="1"/>
    <col min="12" max="13" width="6.6328125" customWidth="1"/>
    <col min="17" max="26" width="14.36328125" customWidth="1"/>
  </cols>
  <sheetData>
    <row r="1" spans="1:16" ht="15.75" customHeight="1" x14ac:dyDescent="0.3">
      <c r="A1" s="3"/>
      <c r="B1" s="3"/>
      <c r="C1" s="3"/>
      <c r="D1" s="98"/>
      <c r="E1" s="90"/>
      <c r="F1" s="90"/>
      <c r="G1" s="90"/>
      <c r="H1" s="90"/>
      <c r="I1" s="90"/>
      <c r="J1" s="90"/>
      <c r="K1" s="90"/>
      <c r="L1" s="90"/>
      <c r="M1" s="90"/>
      <c r="N1" s="4"/>
      <c r="O1" s="4"/>
      <c r="P1" s="4"/>
    </row>
    <row r="2" spans="1:16" ht="15.75" customHeight="1" x14ac:dyDescent="0.3">
      <c r="A2" s="99"/>
      <c r="B2" s="90"/>
      <c r="C2" s="90"/>
      <c r="D2" s="98"/>
      <c r="E2" s="90"/>
      <c r="F2" s="90"/>
      <c r="G2" s="90"/>
      <c r="H2" s="90"/>
      <c r="I2" s="90"/>
      <c r="J2" s="90"/>
      <c r="K2" s="90"/>
      <c r="L2" s="90"/>
      <c r="M2" s="86"/>
      <c r="N2" s="4"/>
      <c r="O2" s="4"/>
      <c r="P2" s="4"/>
    </row>
    <row r="3" spans="1:16" ht="15.75" customHeight="1" x14ac:dyDescent="0.3">
      <c r="A3" s="5" t="s">
        <v>64</v>
      </c>
      <c r="B3" s="6" t="s">
        <v>65</v>
      </c>
      <c r="C3" s="7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  <c r="L3" s="8" t="s">
        <v>75</v>
      </c>
      <c r="M3" s="9" t="s">
        <v>76</v>
      </c>
      <c r="N3" s="4"/>
      <c r="O3" s="4"/>
      <c r="P3" s="4"/>
    </row>
    <row r="4" spans="1:16" ht="15.75" customHeight="1" x14ac:dyDescent="0.35">
      <c r="A4" s="10">
        <v>1</v>
      </c>
      <c r="B4" s="11" t="s">
        <v>77</v>
      </c>
      <c r="C4" s="12" t="s">
        <v>78</v>
      </c>
      <c r="D4" s="13">
        <v>72.222222222222214</v>
      </c>
      <c r="E4" s="13">
        <v>84.444444444444443</v>
      </c>
      <c r="F4" s="13">
        <v>63.333333333333329</v>
      </c>
      <c r="G4" s="13">
        <v>49.285714285714292</v>
      </c>
      <c r="H4" s="13">
        <v>62.857142857142854</v>
      </c>
      <c r="I4" s="14">
        <v>61.428571428571431</v>
      </c>
      <c r="J4" s="15">
        <v>393.57142857142856</v>
      </c>
      <c r="K4" s="16">
        <v>10</v>
      </c>
      <c r="L4" s="17">
        <f t="shared" ref="L4:L31" si="0">(J4/600)*100</f>
        <v>65.595238095238102</v>
      </c>
      <c r="M4" s="18"/>
      <c r="N4" s="4"/>
      <c r="O4" s="4"/>
      <c r="P4" s="4"/>
    </row>
    <row r="5" spans="1:16" ht="15.75" customHeight="1" x14ac:dyDescent="0.35">
      <c r="A5" s="19">
        <v>2</v>
      </c>
      <c r="B5" s="11" t="s">
        <v>79</v>
      </c>
      <c r="C5" s="12" t="s">
        <v>80</v>
      </c>
      <c r="D5" s="13">
        <v>74.444444444444443</v>
      </c>
      <c r="E5" s="13">
        <v>76.666666666666671</v>
      </c>
      <c r="F5" s="13">
        <v>42.222222222222221</v>
      </c>
      <c r="G5" s="13">
        <v>40</v>
      </c>
      <c r="H5" s="13">
        <v>42.857142857142854</v>
      </c>
      <c r="I5" s="14">
        <v>61.428571428571431</v>
      </c>
      <c r="J5" s="15">
        <v>337.61904761904765</v>
      </c>
      <c r="K5" s="16">
        <v>18</v>
      </c>
      <c r="L5" s="17">
        <f t="shared" si="0"/>
        <v>56.269841269841272</v>
      </c>
      <c r="M5" s="18"/>
      <c r="N5" s="4"/>
      <c r="O5" s="4"/>
      <c r="P5" s="4"/>
    </row>
    <row r="6" spans="1:16" ht="15.75" customHeight="1" x14ac:dyDescent="0.35">
      <c r="A6" s="20">
        <v>3</v>
      </c>
      <c r="B6" s="11" t="s">
        <v>81</v>
      </c>
      <c r="C6" s="12" t="s">
        <v>82</v>
      </c>
      <c r="D6" s="13">
        <v>75.555555555555557</v>
      </c>
      <c r="E6" s="13">
        <v>58.888888888888893</v>
      </c>
      <c r="F6" s="13">
        <v>35.555555555555557</v>
      </c>
      <c r="G6" s="13">
        <v>38.571428571428577</v>
      </c>
      <c r="H6" s="13">
        <v>47.142857142857139</v>
      </c>
      <c r="I6" s="14">
        <v>65</v>
      </c>
      <c r="J6" s="15">
        <v>320.71428571428572</v>
      </c>
      <c r="K6" s="16">
        <v>20</v>
      </c>
      <c r="L6" s="17">
        <f t="shared" si="0"/>
        <v>53.452380952380949</v>
      </c>
      <c r="M6" s="18"/>
      <c r="N6" s="4"/>
      <c r="O6" s="4"/>
      <c r="P6" s="4"/>
    </row>
    <row r="7" spans="1:16" ht="15.75" customHeight="1" x14ac:dyDescent="0.35">
      <c r="A7" s="20">
        <v>4</v>
      </c>
      <c r="B7" s="11" t="s">
        <v>83</v>
      </c>
      <c r="C7" s="12" t="s">
        <v>84</v>
      </c>
      <c r="D7" s="13">
        <v>87.777777777777771</v>
      </c>
      <c r="E7" s="13">
        <v>86.666666666666671</v>
      </c>
      <c r="F7" s="13">
        <v>44.444444444444443</v>
      </c>
      <c r="G7" s="21">
        <v>76.428571428571416</v>
      </c>
      <c r="H7" s="13">
        <v>72.857142857142847</v>
      </c>
      <c r="I7" s="14">
        <v>78.571428571428569</v>
      </c>
      <c r="J7" s="15">
        <v>446.74603174603175</v>
      </c>
      <c r="K7" s="16">
        <v>7</v>
      </c>
      <c r="L7" s="17">
        <f t="shared" si="0"/>
        <v>74.457671957671963</v>
      </c>
      <c r="M7" s="18"/>
      <c r="N7" s="4"/>
      <c r="O7" s="4"/>
      <c r="P7" s="4"/>
    </row>
    <row r="8" spans="1:16" ht="15.75" customHeight="1" x14ac:dyDescent="0.35">
      <c r="A8" s="20">
        <v>5</v>
      </c>
      <c r="B8" s="11" t="s">
        <v>85</v>
      </c>
      <c r="C8" s="12" t="s">
        <v>86</v>
      </c>
      <c r="D8" s="13">
        <v>74.444444444444443</v>
      </c>
      <c r="E8" s="13">
        <v>78.888888888888886</v>
      </c>
      <c r="F8" s="13">
        <v>52.222222222222229</v>
      </c>
      <c r="G8" s="13">
        <v>63.571428571428569</v>
      </c>
      <c r="H8" s="13">
        <v>67.142857142857139</v>
      </c>
      <c r="I8" s="14">
        <v>75</v>
      </c>
      <c r="J8" s="15">
        <v>411.26984126984121</v>
      </c>
      <c r="K8" s="16">
        <v>9</v>
      </c>
      <c r="L8" s="17">
        <f t="shared" si="0"/>
        <v>68.54497354497353</v>
      </c>
      <c r="M8" s="18"/>
      <c r="N8" s="4"/>
      <c r="O8" s="4"/>
      <c r="P8" s="4"/>
    </row>
    <row r="9" spans="1:16" ht="15.75" customHeight="1" x14ac:dyDescent="0.35">
      <c r="A9" s="20">
        <v>6</v>
      </c>
      <c r="B9" s="11" t="s">
        <v>87</v>
      </c>
      <c r="C9" s="12" t="s">
        <v>88</v>
      </c>
      <c r="D9" s="22">
        <v>47.777777777777779</v>
      </c>
      <c r="E9" s="13">
        <v>73.333333333333329</v>
      </c>
      <c r="F9" s="13">
        <v>30</v>
      </c>
      <c r="G9" s="13">
        <v>35.714285714285715</v>
      </c>
      <c r="H9" s="13">
        <v>40</v>
      </c>
      <c r="I9" s="14">
        <v>42.142857142857146</v>
      </c>
      <c r="J9" s="15">
        <v>268.96825396825398</v>
      </c>
      <c r="K9" s="23" t="s">
        <v>89</v>
      </c>
      <c r="L9" s="17">
        <f t="shared" si="0"/>
        <v>44.828042328042329</v>
      </c>
      <c r="M9" s="18"/>
      <c r="N9" s="4"/>
      <c r="O9" s="4"/>
      <c r="P9" s="4"/>
    </row>
    <row r="10" spans="1:16" ht="15.75" customHeight="1" x14ac:dyDescent="0.35">
      <c r="A10" s="20">
        <v>7</v>
      </c>
      <c r="B10" s="11" t="s">
        <v>90</v>
      </c>
      <c r="C10" s="12" t="s">
        <v>91</v>
      </c>
      <c r="D10" s="13">
        <v>75.555555555555557</v>
      </c>
      <c r="E10" s="13">
        <v>63.333333333333329</v>
      </c>
      <c r="F10" s="13">
        <v>40</v>
      </c>
      <c r="G10" s="13">
        <v>35.714285714285715</v>
      </c>
      <c r="H10" s="13">
        <v>44.285714285714285</v>
      </c>
      <c r="I10" s="14">
        <v>52.142857142857146</v>
      </c>
      <c r="J10" s="15">
        <v>311.03174603174608</v>
      </c>
      <c r="K10" s="16">
        <v>21</v>
      </c>
      <c r="L10" s="17">
        <f t="shared" si="0"/>
        <v>51.838624338624349</v>
      </c>
      <c r="M10" s="18"/>
      <c r="N10" s="4"/>
      <c r="O10" s="4"/>
      <c r="P10" s="4"/>
    </row>
    <row r="11" spans="1:16" ht="15.75" customHeight="1" x14ac:dyDescent="0.35">
      <c r="A11" s="24">
        <v>8</v>
      </c>
      <c r="B11" s="11" t="s">
        <v>92</v>
      </c>
      <c r="C11" s="25" t="s">
        <v>93</v>
      </c>
      <c r="D11" s="26">
        <v>61.111111111111114</v>
      </c>
      <c r="E11" s="27">
        <v>64.444444444444443</v>
      </c>
      <c r="F11" s="27">
        <v>36.666666666666664</v>
      </c>
      <c r="G11" s="27">
        <v>45.714285714285715</v>
      </c>
      <c r="H11" s="27">
        <v>55.714285714285715</v>
      </c>
      <c r="I11" s="14">
        <v>47.142857142857139</v>
      </c>
      <c r="J11" s="28">
        <v>310.79365079365084</v>
      </c>
      <c r="K11" s="29">
        <v>21</v>
      </c>
      <c r="L11" s="17">
        <f t="shared" si="0"/>
        <v>51.798941798941811</v>
      </c>
      <c r="M11" s="30"/>
      <c r="N11" s="4"/>
      <c r="O11" s="4"/>
      <c r="P11" s="4"/>
    </row>
    <row r="12" spans="1:16" ht="15.75" customHeight="1" x14ac:dyDescent="0.35">
      <c r="A12" s="20">
        <v>9</v>
      </c>
      <c r="B12" s="11" t="s">
        <v>94</v>
      </c>
      <c r="C12" s="12" t="s">
        <v>95</v>
      </c>
      <c r="D12" s="13">
        <v>86.666666666666671</v>
      </c>
      <c r="E12" s="13">
        <v>88.888888888888886</v>
      </c>
      <c r="F12" s="13">
        <v>58.888888888888893</v>
      </c>
      <c r="G12" s="13">
        <v>81.428571428571431</v>
      </c>
      <c r="H12" s="13">
        <v>82.857142857142861</v>
      </c>
      <c r="I12" s="14">
        <v>83.571428571428569</v>
      </c>
      <c r="J12" s="15">
        <v>482.30158730158723</v>
      </c>
      <c r="K12" s="16">
        <v>4</v>
      </c>
      <c r="L12" s="31">
        <f t="shared" si="0"/>
        <v>80.383597883597872</v>
      </c>
      <c r="M12" s="18"/>
      <c r="N12" s="4"/>
      <c r="O12" s="4"/>
      <c r="P12" s="4"/>
    </row>
    <row r="13" spans="1:16" ht="15.75" customHeight="1" x14ac:dyDescent="0.35">
      <c r="A13" s="20">
        <v>10</v>
      </c>
      <c r="B13" s="11" t="s">
        <v>96</v>
      </c>
      <c r="C13" s="12" t="s">
        <v>97</v>
      </c>
      <c r="D13" s="13">
        <v>72.222222222222214</v>
      </c>
      <c r="E13" s="13">
        <v>71.111111111111114</v>
      </c>
      <c r="F13" s="13">
        <v>22.222222222222221</v>
      </c>
      <c r="G13" s="13">
        <v>42.857142857142854</v>
      </c>
      <c r="H13" s="13">
        <v>64.285714285714292</v>
      </c>
      <c r="I13" s="14">
        <v>51.428571428571423</v>
      </c>
      <c r="J13" s="15">
        <v>324.12698412698415</v>
      </c>
      <c r="K13" s="23" t="s">
        <v>89</v>
      </c>
      <c r="L13" s="17">
        <f t="shared" si="0"/>
        <v>54.021164021164026</v>
      </c>
      <c r="M13" s="18"/>
      <c r="N13" s="4"/>
      <c r="O13" s="4"/>
      <c r="P13" s="4"/>
    </row>
    <row r="14" spans="1:16" ht="15.75" customHeight="1" x14ac:dyDescent="0.35">
      <c r="A14" s="20">
        <v>11</v>
      </c>
      <c r="B14" s="11" t="s">
        <v>98</v>
      </c>
      <c r="C14" s="12" t="s">
        <v>99</v>
      </c>
      <c r="D14" s="13">
        <v>81.111111111111114</v>
      </c>
      <c r="E14" s="13">
        <v>88.888888888888886</v>
      </c>
      <c r="F14" s="13">
        <v>60</v>
      </c>
      <c r="G14" s="13">
        <v>67.857142857142861</v>
      </c>
      <c r="H14" s="13">
        <v>61.428571428571431</v>
      </c>
      <c r="I14" s="14">
        <v>80</v>
      </c>
      <c r="J14" s="15">
        <v>439.28571428571433</v>
      </c>
      <c r="K14" s="16">
        <v>8</v>
      </c>
      <c r="L14" s="17">
        <f t="shared" si="0"/>
        <v>73.214285714285722</v>
      </c>
      <c r="M14" s="18"/>
      <c r="N14" s="4"/>
      <c r="O14" s="4"/>
      <c r="P14" s="4"/>
    </row>
    <row r="15" spans="1:16" ht="15.75" customHeight="1" x14ac:dyDescent="0.35">
      <c r="A15" s="20">
        <v>12</v>
      </c>
      <c r="B15" s="11" t="s">
        <v>100</v>
      </c>
      <c r="C15" s="12" t="s">
        <v>101</v>
      </c>
      <c r="D15" s="13">
        <v>77.777777777777786</v>
      </c>
      <c r="E15" s="13">
        <v>63.333333333333329</v>
      </c>
      <c r="F15" s="13">
        <v>40</v>
      </c>
      <c r="G15" s="13">
        <v>72.857142857142847</v>
      </c>
      <c r="H15" s="13">
        <v>60</v>
      </c>
      <c r="I15" s="14">
        <v>65.714285714285708</v>
      </c>
      <c r="J15" s="15">
        <v>379.6825396825397</v>
      </c>
      <c r="K15" s="32">
        <v>14</v>
      </c>
      <c r="L15" s="17">
        <f t="shared" si="0"/>
        <v>63.280423280423278</v>
      </c>
      <c r="M15" s="18"/>
      <c r="N15" s="4"/>
      <c r="O15" s="4"/>
      <c r="P15" s="4"/>
    </row>
    <row r="16" spans="1:16" ht="15.75" customHeight="1" x14ac:dyDescent="0.35">
      <c r="A16" s="20">
        <v>13</v>
      </c>
      <c r="B16" s="11" t="s">
        <v>102</v>
      </c>
      <c r="C16" s="12" t="s">
        <v>103</v>
      </c>
      <c r="D16" s="13">
        <v>78.888888888888886</v>
      </c>
      <c r="E16" s="13">
        <v>75.555555555555557</v>
      </c>
      <c r="F16" s="13">
        <v>40</v>
      </c>
      <c r="G16" s="13">
        <v>44.285714285714285</v>
      </c>
      <c r="H16" s="13">
        <v>52.857142857142861</v>
      </c>
      <c r="I16" s="14">
        <v>60</v>
      </c>
      <c r="J16" s="15">
        <v>351.58730158730157</v>
      </c>
      <c r="K16" s="16">
        <v>17</v>
      </c>
      <c r="L16" s="17">
        <f t="shared" si="0"/>
        <v>58.597883597883595</v>
      </c>
      <c r="M16" s="18"/>
      <c r="N16" s="4"/>
      <c r="O16" s="4"/>
      <c r="P16" s="4"/>
    </row>
    <row r="17" spans="1:16" ht="15.75" customHeight="1" x14ac:dyDescent="0.35">
      <c r="A17" s="20">
        <v>14</v>
      </c>
      <c r="B17" s="11" t="s">
        <v>104</v>
      </c>
      <c r="C17" s="12" t="s">
        <v>105</v>
      </c>
      <c r="D17" s="13">
        <v>83.333333333333343</v>
      </c>
      <c r="E17" s="13">
        <v>83.333333333333343</v>
      </c>
      <c r="F17" s="13">
        <v>63.333333333333329</v>
      </c>
      <c r="G17" s="13">
        <v>72.857142857142847</v>
      </c>
      <c r="H17" s="13">
        <v>77.142857142857153</v>
      </c>
      <c r="I17" s="14">
        <v>77.857142857142861</v>
      </c>
      <c r="J17" s="15">
        <v>457.85714285714289</v>
      </c>
      <c r="K17" s="16">
        <v>6</v>
      </c>
      <c r="L17" s="17">
        <f t="shared" si="0"/>
        <v>76.30952380952381</v>
      </c>
      <c r="M17" s="18"/>
      <c r="N17" s="4"/>
      <c r="O17" s="4"/>
      <c r="P17" s="4"/>
    </row>
    <row r="18" spans="1:16" ht="15.75" customHeight="1" x14ac:dyDescent="0.35">
      <c r="A18" s="20">
        <v>15</v>
      </c>
      <c r="B18" s="11" t="s">
        <v>106</v>
      </c>
      <c r="C18" s="12" t="s">
        <v>107</v>
      </c>
      <c r="D18" s="13">
        <v>72.222222222222214</v>
      </c>
      <c r="E18" s="13">
        <v>84.444444444444443</v>
      </c>
      <c r="F18" s="13">
        <v>35.555555555555557</v>
      </c>
      <c r="G18" s="13">
        <v>45</v>
      </c>
      <c r="H18" s="13">
        <v>38.571428571428577</v>
      </c>
      <c r="I18" s="14">
        <v>52.857142857142861</v>
      </c>
      <c r="J18" s="15">
        <v>328.65079365079362</v>
      </c>
      <c r="K18" s="16">
        <v>19</v>
      </c>
      <c r="L18" s="17">
        <f t="shared" si="0"/>
        <v>54.775132275132265</v>
      </c>
      <c r="M18" s="18"/>
      <c r="N18" s="4"/>
      <c r="O18" s="4"/>
      <c r="P18" s="4"/>
    </row>
    <row r="19" spans="1:16" ht="15.75" customHeight="1" x14ac:dyDescent="0.35">
      <c r="A19" s="20">
        <v>16</v>
      </c>
      <c r="B19" s="11" t="s">
        <v>108</v>
      </c>
      <c r="C19" s="12" t="s">
        <v>109</v>
      </c>
      <c r="D19" s="13">
        <v>65.555555555555557</v>
      </c>
      <c r="E19" s="22">
        <v>46.666666666666664</v>
      </c>
      <c r="F19" s="13">
        <v>27.777777777777779</v>
      </c>
      <c r="G19" s="13">
        <v>47.142857142857139</v>
      </c>
      <c r="H19" s="13">
        <v>35.714285714285715</v>
      </c>
      <c r="I19" s="14">
        <v>43.571428571428569</v>
      </c>
      <c r="J19" s="15">
        <v>266.42857142857144</v>
      </c>
      <c r="K19" s="23" t="s">
        <v>89</v>
      </c>
      <c r="L19" s="17">
        <f t="shared" si="0"/>
        <v>44.404761904761905</v>
      </c>
      <c r="M19" s="18"/>
      <c r="N19" s="4"/>
      <c r="O19" s="4"/>
      <c r="P19" s="4"/>
    </row>
    <row r="20" spans="1:16" ht="15.75" customHeight="1" x14ac:dyDescent="0.35">
      <c r="A20" s="20">
        <v>17</v>
      </c>
      <c r="B20" s="11" t="s">
        <v>110</v>
      </c>
      <c r="C20" s="12" t="s">
        <v>111</v>
      </c>
      <c r="D20" s="33">
        <v>97.777777777777771</v>
      </c>
      <c r="E20" s="13">
        <v>93.333333333333329</v>
      </c>
      <c r="F20" s="33">
        <v>82.222222222222214</v>
      </c>
      <c r="G20" s="13">
        <v>90</v>
      </c>
      <c r="H20" s="13">
        <v>81.428571428571431</v>
      </c>
      <c r="I20" s="14">
        <v>90</v>
      </c>
      <c r="J20" s="15">
        <v>534.76190476190482</v>
      </c>
      <c r="K20" s="16">
        <v>2</v>
      </c>
      <c r="L20" s="31">
        <f t="shared" si="0"/>
        <v>89.126984126984127</v>
      </c>
      <c r="M20" s="18"/>
      <c r="N20" s="4"/>
      <c r="O20" s="4"/>
      <c r="P20" s="4"/>
    </row>
    <row r="21" spans="1:16" ht="15.75" customHeight="1" x14ac:dyDescent="0.35">
      <c r="A21" s="20">
        <v>18</v>
      </c>
      <c r="B21" s="11" t="s">
        <v>112</v>
      </c>
      <c r="C21" s="12" t="s">
        <v>113</v>
      </c>
      <c r="D21" s="13">
        <v>47.777777777777779</v>
      </c>
      <c r="E21" s="13">
        <v>57.777777777777771</v>
      </c>
      <c r="F21" s="22">
        <v>13.333333333333334</v>
      </c>
      <c r="G21" s="22">
        <v>12.857142857142856</v>
      </c>
      <c r="H21" s="22">
        <v>22.857142857142858</v>
      </c>
      <c r="I21" s="34">
        <v>37.428571428571431</v>
      </c>
      <c r="J21" s="35">
        <v>192.03174603174602</v>
      </c>
      <c r="K21" s="23" t="s">
        <v>89</v>
      </c>
      <c r="L21" s="17">
        <f t="shared" si="0"/>
        <v>32.005291005291006</v>
      </c>
      <c r="M21" s="18"/>
      <c r="N21" s="4"/>
      <c r="O21" s="4"/>
      <c r="P21" s="4"/>
    </row>
    <row r="22" spans="1:16" ht="15.75" customHeight="1" x14ac:dyDescent="0.35">
      <c r="A22" s="20">
        <v>19</v>
      </c>
      <c r="B22" s="11" t="s">
        <v>114</v>
      </c>
      <c r="C22" s="12" t="s">
        <v>115</v>
      </c>
      <c r="D22" s="13">
        <v>87.777777777777771</v>
      </c>
      <c r="E22" s="13">
        <v>71.111111111111114</v>
      </c>
      <c r="F22" s="13">
        <v>44.444444444444443</v>
      </c>
      <c r="G22" s="13">
        <v>52.142857142857146</v>
      </c>
      <c r="H22" s="13">
        <v>64.285714285714292</v>
      </c>
      <c r="I22" s="14">
        <v>65.714285714285708</v>
      </c>
      <c r="J22" s="15">
        <v>385.47619047619048</v>
      </c>
      <c r="K22" s="16">
        <v>13</v>
      </c>
      <c r="L22" s="17">
        <f t="shared" si="0"/>
        <v>64.246031746031747</v>
      </c>
      <c r="M22" s="18"/>
      <c r="N22" s="4"/>
      <c r="O22" s="4"/>
      <c r="P22" s="4"/>
    </row>
    <row r="23" spans="1:16" ht="15.75" customHeight="1" x14ac:dyDescent="0.35">
      <c r="A23" s="20">
        <v>20</v>
      </c>
      <c r="B23" s="11" t="s">
        <v>116</v>
      </c>
      <c r="C23" s="12" t="s">
        <v>117</v>
      </c>
      <c r="D23" s="13">
        <v>88.888888888888886</v>
      </c>
      <c r="E23" s="13">
        <v>84.444444444444443</v>
      </c>
      <c r="F23" s="13">
        <v>40</v>
      </c>
      <c r="G23" s="13">
        <v>44.285714285714285</v>
      </c>
      <c r="H23" s="13">
        <v>70</v>
      </c>
      <c r="I23" s="14">
        <v>59.285714285714285</v>
      </c>
      <c r="J23" s="15">
        <v>386.90476190476187</v>
      </c>
      <c r="K23" s="32">
        <v>11</v>
      </c>
      <c r="L23" s="17">
        <f t="shared" si="0"/>
        <v>64.484126984126974</v>
      </c>
      <c r="M23" s="18"/>
      <c r="N23" s="4"/>
      <c r="O23" s="4"/>
      <c r="P23" s="4"/>
    </row>
    <row r="24" spans="1:16" ht="15.75" customHeight="1" x14ac:dyDescent="0.35">
      <c r="A24" s="20">
        <v>21</v>
      </c>
      <c r="B24" s="11" t="s">
        <v>118</v>
      </c>
      <c r="C24" s="12" t="s">
        <v>119</v>
      </c>
      <c r="D24" s="13">
        <v>94.444444444444443</v>
      </c>
      <c r="E24" s="13">
        <v>90</v>
      </c>
      <c r="F24" s="13">
        <v>80</v>
      </c>
      <c r="G24" s="13">
        <v>80.714285714285722</v>
      </c>
      <c r="H24" s="13">
        <v>85.714285714285708</v>
      </c>
      <c r="I24" s="14">
        <v>86.428571428571431</v>
      </c>
      <c r="J24" s="15">
        <v>517.30158730158735</v>
      </c>
      <c r="K24" s="16">
        <v>3</v>
      </c>
      <c r="L24" s="31">
        <f t="shared" si="0"/>
        <v>86.216931216931229</v>
      </c>
      <c r="M24" s="18"/>
      <c r="N24" s="4"/>
      <c r="O24" s="4"/>
      <c r="P24" s="4"/>
    </row>
    <row r="25" spans="1:16" ht="15.75" customHeight="1" x14ac:dyDescent="0.35">
      <c r="A25" s="20">
        <v>22</v>
      </c>
      <c r="B25" s="11" t="s">
        <v>120</v>
      </c>
      <c r="C25" s="12" t="s">
        <v>121</v>
      </c>
      <c r="D25" s="13">
        <v>95.555555555555557</v>
      </c>
      <c r="E25" s="33">
        <v>93.333333333333329</v>
      </c>
      <c r="F25" s="13">
        <v>78.888888888888886</v>
      </c>
      <c r="G25" s="33">
        <v>91.428571428571431</v>
      </c>
      <c r="H25" s="33">
        <v>90</v>
      </c>
      <c r="I25" s="36">
        <v>92.857142857142861</v>
      </c>
      <c r="J25" s="37">
        <v>542.06349206349205</v>
      </c>
      <c r="K25" s="38">
        <v>1</v>
      </c>
      <c r="L25" s="31">
        <f t="shared" si="0"/>
        <v>90.343915343915342</v>
      </c>
      <c r="M25" s="18"/>
      <c r="N25" s="4"/>
      <c r="O25" s="4"/>
      <c r="P25" s="4"/>
    </row>
    <row r="26" spans="1:16" ht="15.75" customHeight="1" x14ac:dyDescent="0.35">
      <c r="A26" s="20">
        <v>23</v>
      </c>
      <c r="B26" s="11" t="s">
        <v>122</v>
      </c>
      <c r="C26" s="39" t="s">
        <v>123</v>
      </c>
      <c r="D26" s="13">
        <v>90</v>
      </c>
      <c r="E26" s="13">
        <v>83.333333333333343</v>
      </c>
      <c r="F26" s="13">
        <v>63.333333333333329</v>
      </c>
      <c r="G26" s="13">
        <v>67.857142857142861</v>
      </c>
      <c r="H26" s="13">
        <v>75.714285714285708</v>
      </c>
      <c r="I26" s="14">
        <v>84.285714285714292</v>
      </c>
      <c r="J26" s="15">
        <v>464.52380952380952</v>
      </c>
      <c r="K26" s="16">
        <v>5</v>
      </c>
      <c r="L26" s="17">
        <f t="shared" si="0"/>
        <v>77.420634920634924</v>
      </c>
      <c r="M26" s="18"/>
      <c r="N26" s="4"/>
      <c r="O26" s="4"/>
      <c r="P26" s="4"/>
    </row>
    <row r="27" spans="1:16" ht="15.75" customHeight="1" x14ac:dyDescent="0.35">
      <c r="A27" s="20">
        <v>24</v>
      </c>
      <c r="B27" s="11" t="s">
        <v>124</v>
      </c>
      <c r="C27" s="12" t="s">
        <v>125</v>
      </c>
      <c r="D27" s="13">
        <v>82.222222222222214</v>
      </c>
      <c r="E27" s="13">
        <v>71.111111111111114</v>
      </c>
      <c r="F27" s="13">
        <v>51.111111111111107</v>
      </c>
      <c r="G27" s="13">
        <v>35.714285714285715</v>
      </c>
      <c r="H27" s="13">
        <v>62.857142857142854</v>
      </c>
      <c r="I27" s="14">
        <v>59.285714285714285</v>
      </c>
      <c r="J27" s="15">
        <v>362.30158730158729</v>
      </c>
      <c r="K27" s="16">
        <v>16</v>
      </c>
      <c r="L27" s="17">
        <f t="shared" si="0"/>
        <v>60.383597883597886</v>
      </c>
      <c r="M27" s="18"/>
      <c r="N27" s="4"/>
      <c r="O27" s="4"/>
      <c r="P27" s="4"/>
    </row>
    <row r="28" spans="1:16" ht="15.75" customHeight="1" x14ac:dyDescent="0.35">
      <c r="A28" s="20">
        <v>25</v>
      </c>
      <c r="B28" s="11" t="s">
        <v>126</v>
      </c>
      <c r="C28" s="12" t="s">
        <v>127</v>
      </c>
      <c r="D28" s="13">
        <v>85.555555555555557</v>
      </c>
      <c r="E28" s="13">
        <v>81.111111111111114</v>
      </c>
      <c r="F28" s="13">
        <v>50</v>
      </c>
      <c r="G28" s="13">
        <v>47.142857142857139</v>
      </c>
      <c r="H28" s="13">
        <v>48.571428571428569</v>
      </c>
      <c r="I28" s="14">
        <v>67.857142857142861</v>
      </c>
      <c r="J28" s="15">
        <v>380.2380952380953</v>
      </c>
      <c r="K28" s="16">
        <v>14</v>
      </c>
      <c r="L28" s="17">
        <f t="shared" si="0"/>
        <v>63.373015873015881</v>
      </c>
      <c r="M28" s="18"/>
      <c r="N28" s="4"/>
      <c r="O28" s="4"/>
      <c r="P28" s="4"/>
    </row>
    <row r="29" spans="1:16" ht="15.75" customHeight="1" x14ac:dyDescent="0.35">
      <c r="A29" s="20">
        <v>26</v>
      </c>
      <c r="B29" s="11" t="s">
        <v>128</v>
      </c>
      <c r="C29" s="12" t="s">
        <v>129</v>
      </c>
      <c r="D29" s="13">
        <v>80</v>
      </c>
      <c r="E29" s="13">
        <v>77.777777777777786</v>
      </c>
      <c r="F29" s="13">
        <v>23.333333333333332</v>
      </c>
      <c r="G29" s="13">
        <v>35</v>
      </c>
      <c r="H29" s="13">
        <v>45.714285714285715</v>
      </c>
      <c r="I29" s="14">
        <v>57.142857142857139</v>
      </c>
      <c r="J29" s="15">
        <v>318.96825396825398</v>
      </c>
      <c r="K29" s="23" t="s">
        <v>89</v>
      </c>
      <c r="L29" s="17">
        <f t="shared" si="0"/>
        <v>53.161375661375665</v>
      </c>
      <c r="M29" s="18"/>
      <c r="N29" s="4"/>
      <c r="O29" s="4"/>
      <c r="P29" s="4"/>
    </row>
    <row r="30" spans="1:16" ht="15.75" customHeight="1" x14ac:dyDescent="0.35">
      <c r="A30" s="20">
        <v>27</v>
      </c>
      <c r="B30" s="11" t="s">
        <v>130</v>
      </c>
      <c r="C30" s="12" t="s">
        <v>131</v>
      </c>
      <c r="D30" s="33">
        <v>88.888888888888886</v>
      </c>
      <c r="E30" s="13">
        <v>84.444444444444443</v>
      </c>
      <c r="F30" s="13">
        <v>35.555555555555557</v>
      </c>
      <c r="G30" s="13">
        <v>52.142857142857146</v>
      </c>
      <c r="H30" s="13">
        <v>62.857142857142854</v>
      </c>
      <c r="I30" s="14">
        <v>62.142857142857146</v>
      </c>
      <c r="J30" s="15">
        <v>386.03174603174602</v>
      </c>
      <c r="K30" s="16">
        <v>12</v>
      </c>
      <c r="L30" s="17">
        <f t="shared" si="0"/>
        <v>64.338624338624342</v>
      </c>
      <c r="M30" s="18"/>
      <c r="N30" s="4"/>
      <c r="O30" s="4"/>
      <c r="P30" s="4"/>
    </row>
    <row r="31" spans="1:16" ht="15.75" customHeight="1" x14ac:dyDescent="0.35">
      <c r="A31" s="20">
        <v>28</v>
      </c>
      <c r="B31" s="11" t="s">
        <v>132</v>
      </c>
      <c r="C31" s="40" t="s">
        <v>133</v>
      </c>
      <c r="D31" s="13">
        <v>73.333333333333329</v>
      </c>
      <c r="E31" s="13">
        <v>63.333333333333329</v>
      </c>
      <c r="F31" s="13">
        <v>27.777777777777779</v>
      </c>
      <c r="G31" s="13">
        <v>42.142857142857146</v>
      </c>
      <c r="H31" s="41"/>
      <c r="I31" s="41"/>
      <c r="J31" s="15">
        <v>206.58730158730157</v>
      </c>
      <c r="K31" s="42" t="s">
        <v>134</v>
      </c>
      <c r="L31" s="17">
        <f t="shared" si="0"/>
        <v>34.43121693121693</v>
      </c>
      <c r="M31" s="18"/>
      <c r="N31" s="4"/>
      <c r="O31" s="4"/>
      <c r="P31" s="4"/>
    </row>
    <row r="32" spans="1:16" ht="15.75" customHeight="1" x14ac:dyDescent="0.3">
      <c r="A32" s="43"/>
      <c r="B32" s="43"/>
      <c r="C32" s="44"/>
      <c r="D32" s="43"/>
      <c r="E32" s="43"/>
      <c r="F32" s="43"/>
      <c r="G32" s="45"/>
      <c r="H32" s="45"/>
      <c r="I32" s="45"/>
      <c r="J32" s="45"/>
      <c r="K32" s="46"/>
      <c r="L32" s="47"/>
      <c r="M32" s="48"/>
      <c r="N32" s="4"/>
      <c r="O32" s="4"/>
      <c r="P32" s="4"/>
    </row>
    <row r="33" spans="1:16" ht="15.75" customHeight="1" x14ac:dyDescent="0.3">
      <c r="A33" s="8" t="s">
        <v>135</v>
      </c>
      <c r="B33" s="9" t="s">
        <v>136</v>
      </c>
      <c r="C33" s="9" t="s">
        <v>137</v>
      </c>
      <c r="D33" s="8" t="s">
        <v>67</v>
      </c>
      <c r="E33" s="8" t="s">
        <v>68</v>
      </c>
      <c r="F33" s="8" t="s">
        <v>69</v>
      </c>
      <c r="G33" s="8" t="s">
        <v>70</v>
      </c>
      <c r="H33" s="8" t="s">
        <v>71</v>
      </c>
      <c r="I33" s="9" t="s">
        <v>72</v>
      </c>
      <c r="J33" s="100" t="s">
        <v>73</v>
      </c>
      <c r="K33" s="95"/>
      <c r="L33" s="95"/>
      <c r="M33" s="96"/>
      <c r="N33" s="4"/>
      <c r="O33" s="4"/>
      <c r="P33" s="4"/>
    </row>
    <row r="34" spans="1:16" ht="15.75" customHeight="1" x14ac:dyDescent="0.3">
      <c r="A34" s="85">
        <v>6</v>
      </c>
      <c r="B34" s="91"/>
      <c r="C34" s="49" t="s">
        <v>138</v>
      </c>
      <c r="D34" s="50">
        <v>22</v>
      </c>
      <c r="E34" s="50">
        <v>28</v>
      </c>
      <c r="F34" s="50">
        <v>28</v>
      </c>
      <c r="G34" s="50">
        <v>28</v>
      </c>
      <c r="H34" s="50">
        <v>28</v>
      </c>
      <c r="I34" s="51">
        <v>28</v>
      </c>
      <c r="J34" s="89">
        <v>28</v>
      </c>
      <c r="K34" s="90"/>
      <c r="L34" s="90"/>
      <c r="M34" s="91"/>
      <c r="N34" s="4"/>
      <c r="O34" s="4"/>
      <c r="P34" s="4"/>
    </row>
    <row r="35" spans="1:16" ht="15.75" customHeight="1" x14ac:dyDescent="0.3">
      <c r="A35" s="85">
        <v>6</v>
      </c>
      <c r="B35" s="86"/>
      <c r="C35" s="49" t="s">
        <v>139</v>
      </c>
      <c r="D35" s="50">
        <v>22</v>
      </c>
      <c r="E35" s="50">
        <v>28</v>
      </c>
      <c r="F35" s="50">
        <v>28</v>
      </c>
      <c r="G35" s="50">
        <v>28</v>
      </c>
      <c r="H35" s="50">
        <v>27</v>
      </c>
      <c r="I35" s="51">
        <v>27</v>
      </c>
      <c r="J35" s="89">
        <v>27</v>
      </c>
      <c r="K35" s="90"/>
      <c r="L35" s="90"/>
      <c r="M35" s="91"/>
      <c r="N35" s="4"/>
      <c r="O35" s="4"/>
      <c r="P35" s="4"/>
    </row>
    <row r="36" spans="1:16" ht="15.75" customHeight="1" x14ac:dyDescent="0.3">
      <c r="A36" s="85" t="s">
        <v>140</v>
      </c>
      <c r="B36" s="86"/>
      <c r="C36" s="49" t="s">
        <v>141</v>
      </c>
      <c r="D36" s="52" t="s">
        <v>140</v>
      </c>
      <c r="E36" s="50" t="s">
        <v>140</v>
      </c>
      <c r="F36" s="50" t="s">
        <v>140</v>
      </c>
      <c r="G36" s="50" t="s">
        <v>140</v>
      </c>
      <c r="H36" s="50">
        <v>1</v>
      </c>
      <c r="I36" s="51">
        <v>1</v>
      </c>
      <c r="J36" s="89">
        <v>1</v>
      </c>
      <c r="K36" s="90"/>
      <c r="L36" s="90"/>
      <c r="M36" s="91"/>
      <c r="N36" s="4"/>
      <c r="O36" s="4"/>
      <c r="P36" s="4"/>
    </row>
    <row r="37" spans="1:16" ht="15.75" customHeight="1" x14ac:dyDescent="0.3">
      <c r="A37" s="85">
        <v>6</v>
      </c>
      <c r="B37" s="86"/>
      <c r="C37" s="49" t="s">
        <v>142</v>
      </c>
      <c r="D37" s="50">
        <v>22</v>
      </c>
      <c r="E37" s="50">
        <v>28</v>
      </c>
      <c r="F37" s="50">
        <v>22</v>
      </c>
      <c r="G37" s="50">
        <v>27</v>
      </c>
      <c r="H37" s="52">
        <v>26</v>
      </c>
      <c r="I37" s="51">
        <v>27</v>
      </c>
      <c r="J37" s="89">
        <v>22</v>
      </c>
      <c r="K37" s="90"/>
      <c r="L37" s="90"/>
      <c r="M37" s="91"/>
      <c r="N37" s="4"/>
      <c r="O37" s="4"/>
      <c r="P37" s="4"/>
    </row>
    <row r="38" spans="1:16" ht="15.75" customHeight="1" x14ac:dyDescent="0.3">
      <c r="A38" s="87" t="s">
        <v>140</v>
      </c>
      <c r="B38" s="86"/>
      <c r="C38" s="53" t="s">
        <v>143</v>
      </c>
      <c r="D38" s="54" t="s">
        <v>140</v>
      </c>
      <c r="E38" s="54" t="s">
        <v>140</v>
      </c>
      <c r="F38" s="55">
        <v>6</v>
      </c>
      <c r="G38" s="54">
        <v>1</v>
      </c>
      <c r="H38" s="55">
        <v>1</v>
      </c>
      <c r="I38" s="56" t="s">
        <v>140</v>
      </c>
      <c r="J38" s="92">
        <v>5</v>
      </c>
      <c r="K38" s="90"/>
      <c r="L38" s="90"/>
      <c r="M38" s="91"/>
      <c r="N38" s="4"/>
      <c r="O38" s="4"/>
      <c r="P38" s="4"/>
    </row>
    <row r="39" spans="1:16" ht="15.75" customHeight="1" x14ac:dyDescent="0.3">
      <c r="A39" s="57" t="e">
        <f xml:space="preserve"> MAX(#REF!,#REF!)</f>
        <v>#REF!</v>
      </c>
      <c r="B39" s="58">
        <f>MAX(D11, D27:D31)</f>
        <v>88.888888888888886</v>
      </c>
      <c r="C39" s="49" t="s">
        <v>144</v>
      </c>
      <c r="D39" s="59">
        <f t="shared" ref="D39:J39" si="1">MAX(D4:D31)</f>
        <v>97.777777777777771</v>
      </c>
      <c r="E39" s="59">
        <f t="shared" si="1"/>
        <v>93.333333333333329</v>
      </c>
      <c r="F39" s="59">
        <f t="shared" si="1"/>
        <v>82.222222222222214</v>
      </c>
      <c r="G39" s="59">
        <f t="shared" si="1"/>
        <v>91.428571428571431</v>
      </c>
      <c r="H39" s="59">
        <f t="shared" si="1"/>
        <v>90</v>
      </c>
      <c r="I39" s="58">
        <f t="shared" si="1"/>
        <v>92.857142857142861</v>
      </c>
      <c r="J39" s="93">
        <f t="shared" si="1"/>
        <v>542.06349206349205</v>
      </c>
      <c r="K39" s="90"/>
      <c r="L39" s="90"/>
      <c r="M39" s="91"/>
      <c r="N39" s="4"/>
      <c r="O39" s="4"/>
      <c r="P39" s="4"/>
    </row>
    <row r="40" spans="1:16" ht="15.75" customHeight="1" x14ac:dyDescent="0.3">
      <c r="A40" s="57" t="e">
        <f xml:space="preserve"> MIN(#REF!,#REF!)</f>
        <v>#REF!</v>
      </c>
      <c r="B40" s="58">
        <f>MIN(D11, D27:D31)</f>
        <v>61.111111111111114</v>
      </c>
      <c r="C40" s="49" t="s">
        <v>145</v>
      </c>
      <c r="D40" s="60">
        <f>MIN(D4:D10,D12:D26)</f>
        <v>47.777777777777779</v>
      </c>
      <c r="E40" s="60">
        <f t="shared" ref="E40:I40" si="2">MIN(E4:E31)</f>
        <v>46.666666666666664</v>
      </c>
      <c r="F40" s="60">
        <f t="shared" si="2"/>
        <v>13.333333333333334</v>
      </c>
      <c r="G40" s="60">
        <f t="shared" si="2"/>
        <v>12.857142857142856</v>
      </c>
      <c r="H40" s="60">
        <f t="shared" si="2"/>
        <v>22.857142857142858</v>
      </c>
      <c r="I40" s="61">
        <f t="shared" si="2"/>
        <v>37.428571428571431</v>
      </c>
      <c r="J40" s="93">
        <v>192</v>
      </c>
      <c r="K40" s="90"/>
      <c r="L40" s="90"/>
      <c r="M40" s="91"/>
      <c r="N40" s="4"/>
      <c r="O40" s="4"/>
      <c r="P40" s="4"/>
    </row>
    <row r="41" spans="1:16" ht="15.75" customHeight="1" x14ac:dyDescent="0.3">
      <c r="A41" s="62" t="e">
        <f xml:space="preserve"> AVERAGE(#REF!,#REF!)</f>
        <v>#REF!</v>
      </c>
      <c r="B41" s="63">
        <f>AVERAGE(D11, D27:D31)</f>
        <v>78.518518518518505</v>
      </c>
      <c r="C41" s="9" t="s">
        <v>146</v>
      </c>
      <c r="D41" s="64">
        <f>AVERAGE(D4:D10,D12:D26)</f>
        <v>78.535353535353551</v>
      </c>
      <c r="E41" s="64">
        <f t="shared" ref="E41:J41" si="3">AVERAGE(E4:E31)</f>
        <v>76.428571428571431</v>
      </c>
      <c r="F41" s="64">
        <f t="shared" si="3"/>
        <v>45.793650793650798</v>
      </c>
      <c r="G41" s="64">
        <f t="shared" si="3"/>
        <v>53.954081632653065</v>
      </c>
      <c r="H41" s="64">
        <f t="shared" si="3"/>
        <v>59.841269841269849</v>
      </c>
      <c r="I41" s="63">
        <f t="shared" si="3"/>
        <v>65.195767195767189</v>
      </c>
      <c r="J41" s="94">
        <f t="shared" si="3"/>
        <v>375.27947845804982</v>
      </c>
      <c r="K41" s="95"/>
      <c r="L41" s="95"/>
      <c r="M41" s="96"/>
      <c r="N41" s="4"/>
      <c r="O41" s="4"/>
      <c r="P41" s="4"/>
    </row>
    <row r="42" spans="1:16" ht="15.75" customHeight="1" x14ac:dyDescent="0.3">
      <c r="A42" s="88">
        <f>(A37:B37/A35:B35)*100</f>
        <v>100</v>
      </c>
      <c r="B42" s="86"/>
      <c r="C42" s="9" t="s">
        <v>147</v>
      </c>
      <c r="D42" s="65">
        <f t="shared" ref="D42:J42" si="4">(D37/D35)*100</f>
        <v>100</v>
      </c>
      <c r="E42" s="65">
        <f t="shared" si="4"/>
        <v>100</v>
      </c>
      <c r="F42" s="65">
        <f t="shared" si="4"/>
        <v>78.571428571428569</v>
      </c>
      <c r="G42" s="65">
        <f t="shared" si="4"/>
        <v>96.428571428571431</v>
      </c>
      <c r="H42" s="65">
        <f t="shared" si="4"/>
        <v>96.296296296296291</v>
      </c>
      <c r="I42" s="66">
        <f t="shared" si="4"/>
        <v>100</v>
      </c>
      <c r="J42" s="97">
        <f t="shared" si="4"/>
        <v>81.481481481481481</v>
      </c>
      <c r="K42" s="95"/>
      <c r="L42" s="95"/>
      <c r="M42" s="96"/>
      <c r="N42" s="4"/>
      <c r="O42" s="4"/>
      <c r="P42" s="4"/>
    </row>
    <row r="43" spans="1:16" ht="15.75" customHeight="1" x14ac:dyDescent="0.3">
      <c r="A43" s="67"/>
      <c r="B43" s="67"/>
      <c r="C43" s="9" t="s">
        <v>148</v>
      </c>
      <c r="D43" s="68">
        <v>0</v>
      </c>
      <c r="E43" s="68">
        <v>0</v>
      </c>
      <c r="F43" s="69">
        <f t="shared" ref="F43:H43" si="5">(F38/F35)*100</f>
        <v>21.428571428571427</v>
      </c>
      <c r="G43" s="69">
        <f t="shared" si="5"/>
        <v>3.5714285714285712</v>
      </c>
      <c r="H43" s="69">
        <f t="shared" si="5"/>
        <v>3.7037037037037033</v>
      </c>
      <c r="I43" s="69">
        <v>0</v>
      </c>
      <c r="J43" s="97">
        <f>(J38:M38/J35:M35)*100</f>
        <v>18.518518518518519</v>
      </c>
      <c r="K43" s="95"/>
      <c r="L43" s="95"/>
      <c r="M43" s="96"/>
      <c r="N43" s="4"/>
      <c r="O43" s="4"/>
      <c r="P43" s="4"/>
    </row>
    <row r="44" spans="1:16" ht="15.75" customHeight="1" x14ac:dyDescent="0.3">
      <c r="A44" s="67"/>
      <c r="B44" s="67"/>
      <c r="C44" s="67"/>
      <c r="D44" s="70"/>
      <c r="E44" s="70"/>
      <c r="F44" s="70"/>
      <c r="G44" s="45"/>
      <c r="H44" s="45"/>
      <c r="I44" s="67"/>
      <c r="J44" s="67"/>
      <c r="K44" s="67"/>
      <c r="L44" s="67"/>
      <c r="M44" s="67"/>
      <c r="N44" s="4"/>
      <c r="O44" s="4"/>
      <c r="P44" s="4"/>
    </row>
    <row r="45" spans="1:16" ht="15.75" customHeight="1" x14ac:dyDescent="0.3">
      <c r="A45" s="4"/>
      <c r="B45" s="4"/>
      <c r="C45" s="4"/>
      <c r="D45" s="4"/>
      <c r="E45" s="4"/>
      <c r="F45" s="4"/>
      <c r="G45" s="71"/>
      <c r="H45" s="72"/>
      <c r="I45" s="4"/>
      <c r="J45" s="4"/>
      <c r="K45" s="4"/>
      <c r="L45" s="4"/>
      <c r="M45" s="4"/>
      <c r="N45" s="4"/>
      <c r="O45" s="4"/>
      <c r="P45" s="4"/>
    </row>
    <row r="46" spans="1:16" ht="15.75" customHeight="1" x14ac:dyDescent="0.3">
      <c r="A46" s="4"/>
      <c r="B46" s="4"/>
      <c r="C46" s="4"/>
      <c r="D46" s="67"/>
      <c r="E46" s="67"/>
      <c r="F46" s="67"/>
      <c r="G46" s="67"/>
      <c r="H46" s="67"/>
      <c r="I46" s="4"/>
      <c r="J46" s="4"/>
      <c r="K46" s="4"/>
      <c r="L46" s="4"/>
      <c r="M46" s="4"/>
      <c r="N46" s="4"/>
      <c r="O46" s="4"/>
      <c r="P46" s="4"/>
    </row>
    <row r="47" spans="1:16" ht="15.75" customHeight="1" x14ac:dyDescent="0.3">
      <c r="A47" s="4"/>
      <c r="B47" s="4"/>
      <c r="C47" s="4"/>
      <c r="D47" s="67"/>
      <c r="E47" s="67"/>
      <c r="F47" s="67"/>
      <c r="G47" s="67"/>
      <c r="H47" s="67"/>
      <c r="I47" s="4"/>
      <c r="J47" s="4"/>
      <c r="K47" s="4"/>
      <c r="L47" s="4"/>
      <c r="M47" s="4"/>
      <c r="N47" s="4"/>
      <c r="O47" s="4"/>
      <c r="P47" s="4"/>
    </row>
    <row r="48" spans="1:16" ht="15.75" customHeight="1" x14ac:dyDescent="0.3">
      <c r="A48" s="4"/>
      <c r="B48" s="4"/>
      <c r="C48" s="4"/>
      <c r="D48" s="67"/>
      <c r="E48" s="67"/>
      <c r="F48" s="67"/>
      <c r="G48" s="67"/>
      <c r="H48" s="67"/>
      <c r="I48" s="4"/>
      <c r="J48" s="4"/>
      <c r="K48" s="4"/>
      <c r="L48" s="4"/>
      <c r="M48" s="4"/>
      <c r="N48" s="4"/>
      <c r="O48" s="4"/>
      <c r="P48" s="4"/>
    </row>
    <row r="49" spans="1:16" ht="15.75" customHeight="1" x14ac:dyDescent="0.3">
      <c r="A49" s="4"/>
      <c r="B49" s="4"/>
      <c r="C49" s="4"/>
      <c r="D49" s="67"/>
      <c r="E49" s="67"/>
      <c r="F49" s="67"/>
      <c r="G49" s="67"/>
      <c r="H49" s="67"/>
      <c r="I49" s="4"/>
      <c r="J49" s="4"/>
      <c r="K49" s="4"/>
      <c r="L49" s="4"/>
      <c r="M49" s="4"/>
      <c r="N49" s="4"/>
      <c r="O49" s="4"/>
      <c r="P49" s="4"/>
    </row>
    <row r="50" spans="1:16" ht="15.75" customHeight="1" x14ac:dyDescent="0.3">
      <c r="A50" s="4"/>
      <c r="B50" s="4"/>
      <c r="C50" s="4"/>
      <c r="D50" s="67"/>
      <c r="E50" s="67"/>
      <c r="F50" s="67"/>
      <c r="G50" s="67"/>
      <c r="H50" s="67"/>
      <c r="I50" s="4"/>
      <c r="J50" s="4"/>
      <c r="K50" s="4"/>
      <c r="L50" s="4"/>
      <c r="M50" s="4"/>
      <c r="N50" s="4"/>
      <c r="O50" s="4"/>
      <c r="P50" s="4"/>
    </row>
    <row r="51" spans="1:16" ht="15.75" customHeight="1" x14ac:dyDescent="0.3">
      <c r="A51" s="4"/>
      <c r="B51" s="4"/>
      <c r="C51" s="4"/>
      <c r="D51" s="67"/>
      <c r="E51" s="67"/>
      <c r="F51" s="67"/>
      <c r="G51" s="67"/>
      <c r="H51" s="67"/>
      <c r="I51" s="4"/>
      <c r="J51" s="4"/>
      <c r="K51" s="4"/>
      <c r="L51" s="4"/>
      <c r="M51" s="4"/>
      <c r="N51" s="4"/>
      <c r="O51" s="4"/>
      <c r="P51" s="4"/>
    </row>
    <row r="52" spans="1:16" ht="15.75" customHeight="1" x14ac:dyDescent="0.3">
      <c r="A52" s="4"/>
      <c r="B52" s="4"/>
      <c r="C52" s="4"/>
      <c r="D52" s="67"/>
      <c r="E52" s="67"/>
      <c r="F52" s="67"/>
      <c r="G52" s="67"/>
      <c r="H52" s="67"/>
      <c r="I52" s="4"/>
      <c r="J52" s="4"/>
      <c r="K52" s="4"/>
      <c r="L52" s="4"/>
      <c r="M52" s="4"/>
      <c r="N52" s="4"/>
      <c r="O52" s="4"/>
      <c r="P52" s="4"/>
    </row>
    <row r="53" spans="1:16" ht="15.75" customHeight="1" x14ac:dyDescent="0.3">
      <c r="A53" s="4"/>
      <c r="B53" s="4"/>
      <c r="C53" s="4"/>
      <c r="D53" s="67"/>
      <c r="E53" s="67"/>
      <c r="F53" s="67"/>
      <c r="G53" s="67"/>
      <c r="H53" s="67"/>
      <c r="I53" s="4"/>
      <c r="J53" s="4"/>
      <c r="K53" s="4"/>
      <c r="L53" s="4"/>
      <c r="M53" s="4"/>
      <c r="N53" s="4"/>
      <c r="O53" s="4"/>
      <c r="P53" s="4"/>
    </row>
    <row r="54" spans="1:16" ht="15.75" customHeight="1" x14ac:dyDescent="0.3">
      <c r="A54" s="4"/>
      <c r="B54" s="4"/>
      <c r="C54" s="4"/>
      <c r="D54" s="67"/>
      <c r="E54" s="67"/>
      <c r="F54" s="67"/>
      <c r="G54" s="67"/>
      <c r="H54" s="67"/>
      <c r="I54" s="4"/>
      <c r="J54" s="4"/>
      <c r="K54" s="4"/>
      <c r="L54" s="4"/>
      <c r="M54" s="4"/>
      <c r="N54" s="4"/>
      <c r="O54" s="4"/>
      <c r="P54" s="4"/>
    </row>
    <row r="55" spans="1:16" ht="15.75" customHeight="1" x14ac:dyDescent="0.3">
      <c r="A55" s="4"/>
      <c r="B55" s="4"/>
      <c r="C55" s="4"/>
      <c r="D55" s="67"/>
      <c r="E55" s="67"/>
      <c r="F55" s="67"/>
      <c r="G55" s="67"/>
      <c r="H55" s="67"/>
      <c r="I55" s="4"/>
      <c r="J55" s="4"/>
      <c r="K55" s="4"/>
      <c r="L55" s="4"/>
      <c r="M55" s="4"/>
      <c r="N55" s="4"/>
      <c r="O55" s="4"/>
      <c r="P55" s="4"/>
    </row>
    <row r="56" spans="1:16" ht="15.75" customHeight="1" x14ac:dyDescent="0.3">
      <c r="A56" s="4"/>
      <c r="B56" s="4"/>
      <c r="C56" s="4"/>
      <c r="D56" s="67"/>
      <c r="E56" s="67"/>
      <c r="F56" s="67"/>
      <c r="G56" s="67"/>
      <c r="H56" s="67"/>
      <c r="I56" s="4"/>
      <c r="J56" s="4"/>
      <c r="K56" s="4"/>
      <c r="L56" s="4"/>
      <c r="M56" s="4"/>
      <c r="N56" s="4"/>
      <c r="O56" s="4"/>
      <c r="P56" s="4"/>
    </row>
    <row r="57" spans="1:16" ht="15.75" customHeight="1" x14ac:dyDescent="0.3">
      <c r="A57" s="4"/>
      <c r="B57" s="4"/>
      <c r="C57" s="4"/>
      <c r="D57" s="4"/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5.75" customHeight="1" x14ac:dyDescent="0.3">
      <c r="A58" s="4"/>
      <c r="B58" s="4"/>
      <c r="C58" s="4"/>
      <c r="D58" s="4"/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5.75" customHeight="1" x14ac:dyDescent="0.3">
      <c r="A59" s="4"/>
      <c r="B59" s="4"/>
      <c r="C59" s="4"/>
      <c r="D59" s="4"/>
      <c r="E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5.75" customHeight="1" x14ac:dyDescent="0.3">
      <c r="A60" s="4"/>
      <c r="B60" s="4"/>
      <c r="C60" s="4"/>
      <c r="D60" s="4"/>
      <c r="E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5.75" customHeight="1" x14ac:dyDescent="0.3">
      <c r="A61" s="4"/>
      <c r="B61" s="4"/>
      <c r="C61" s="4"/>
      <c r="D61" s="4"/>
      <c r="E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5.75" customHeight="1" x14ac:dyDescent="0.3">
      <c r="A62" s="4"/>
      <c r="B62" s="4"/>
      <c r="C62" s="4"/>
      <c r="D62" s="4"/>
      <c r="E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J41:M41"/>
    <mergeCell ref="J42:M42"/>
    <mergeCell ref="J43:M43"/>
    <mergeCell ref="D1:M1"/>
    <mergeCell ref="A2:C2"/>
    <mergeCell ref="D2:M2"/>
    <mergeCell ref="J33:M33"/>
    <mergeCell ref="A34:B34"/>
    <mergeCell ref="J34:M34"/>
    <mergeCell ref="J35:M35"/>
    <mergeCell ref="J36:M36"/>
    <mergeCell ref="J37:M37"/>
    <mergeCell ref="J38:M38"/>
    <mergeCell ref="J39:M39"/>
    <mergeCell ref="J40:M40"/>
    <mergeCell ref="A35:B35"/>
    <mergeCell ref="A36:B36"/>
    <mergeCell ref="A37:B37"/>
    <mergeCell ref="A38:B38"/>
    <mergeCell ref="A42:B42"/>
  </mergeCells>
  <conditionalFormatting sqref="F4:I31">
    <cfRule type="cellIs" dxfId="0" priority="1" operator="lessThan">
      <formula>35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/>
  </sheetViews>
  <sheetFormatPr defaultColWidth="12.6328125" defaultRowHeight="15" customHeight="1" x14ac:dyDescent="0.25"/>
  <cols>
    <col min="1" max="1" width="16.36328125" customWidth="1"/>
    <col min="2" max="2" width="25.7265625" customWidth="1"/>
    <col min="3" max="3" width="23.6328125" customWidth="1"/>
    <col min="4" max="5" width="10.26953125" customWidth="1"/>
    <col min="6" max="6" width="9.90625" customWidth="1"/>
  </cols>
  <sheetData>
    <row r="1" spans="1:26" ht="15.75" customHeight="1" x14ac:dyDescent="0.3">
      <c r="A1" s="103" t="s">
        <v>149</v>
      </c>
      <c r="B1" s="104"/>
      <c r="C1" s="104"/>
      <c r="D1" s="104"/>
      <c r="E1" s="104"/>
      <c r="F1" s="84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.75" customHeight="1" x14ac:dyDescent="0.35">
      <c r="A2" s="105" t="s">
        <v>150</v>
      </c>
      <c r="B2" s="90"/>
      <c r="C2" s="90"/>
      <c r="D2" s="90"/>
      <c r="E2" s="90"/>
      <c r="F2" s="86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5.75" customHeight="1" x14ac:dyDescent="0.35">
      <c r="A3" s="74" t="s">
        <v>151</v>
      </c>
      <c r="B3" s="98" t="s">
        <v>152</v>
      </c>
      <c r="C3" s="86"/>
      <c r="D3" s="106" t="s">
        <v>153</v>
      </c>
      <c r="E3" s="90"/>
      <c r="F3" s="86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5.75" customHeight="1" x14ac:dyDescent="0.3">
      <c r="A4" s="75" t="s">
        <v>154</v>
      </c>
      <c r="B4" s="76" t="s">
        <v>155</v>
      </c>
      <c r="C4" s="76" t="s">
        <v>156</v>
      </c>
      <c r="D4" s="77" t="s">
        <v>157</v>
      </c>
      <c r="E4" s="77" t="s">
        <v>158</v>
      </c>
      <c r="F4" s="77" t="s">
        <v>159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52.5" customHeight="1" x14ac:dyDescent="0.3">
      <c r="A5" s="78" t="s">
        <v>160</v>
      </c>
      <c r="B5" s="76" t="s">
        <v>161</v>
      </c>
      <c r="C5" s="76" t="s">
        <v>162</v>
      </c>
      <c r="D5" s="76" t="s">
        <v>140</v>
      </c>
      <c r="E5" s="76" t="s">
        <v>140</v>
      </c>
      <c r="F5" s="76">
        <v>79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54.75" customHeight="1" x14ac:dyDescent="0.3">
      <c r="A6" s="78" t="s">
        <v>163</v>
      </c>
      <c r="B6" s="76" t="s">
        <v>164</v>
      </c>
      <c r="C6" s="6" t="s">
        <v>165</v>
      </c>
      <c r="D6" s="76" t="s">
        <v>140</v>
      </c>
      <c r="E6" s="76" t="s">
        <v>140</v>
      </c>
      <c r="F6" s="76">
        <v>79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42.75" customHeight="1" x14ac:dyDescent="0.3">
      <c r="A7" s="78" t="s">
        <v>166</v>
      </c>
      <c r="B7" s="76" t="s">
        <v>167</v>
      </c>
      <c r="C7" s="76" t="s">
        <v>168</v>
      </c>
      <c r="D7" s="76" t="s">
        <v>140</v>
      </c>
      <c r="E7" s="76" t="s">
        <v>140</v>
      </c>
      <c r="F7" s="76">
        <v>76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42.75" customHeight="1" x14ac:dyDescent="0.3">
      <c r="A8" s="78" t="s">
        <v>169</v>
      </c>
      <c r="B8" s="76" t="s">
        <v>170</v>
      </c>
      <c r="C8" s="76" t="s">
        <v>171</v>
      </c>
      <c r="D8" s="76" t="s">
        <v>140</v>
      </c>
      <c r="E8" s="76">
        <v>6</v>
      </c>
      <c r="F8" s="76">
        <v>46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42.75" customHeight="1" x14ac:dyDescent="0.3">
      <c r="A9" s="78" t="s">
        <v>172</v>
      </c>
      <c r="B9" s="76" t="s">
        <v>173</v>
      </c>
      <c r="C9" s="76" t="s">
        <v>171</v>
      </c>
      <c r="D9" s="76" t="s">
        <v>140</v>
      </c>
      <c r="E9" s="76">
        <v>1</v>
      </c>
      <c r="F9" s="76">
        <v>54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42.75" customHeight="1" x14ac:dyDescent="0.3">
      <c r="A10" s="78" t="s">
        <v>174</v>
      </c>
      <c r="B10" s="76" t="s">
        <v>175</v>
      </c>
      <c r="C10" s="76" t="s">
        <v>176</v>
      </c>
      <c r="D10" s="76" t="s">
        <v>140</v>
      </c>
      <c r="E10" s="76">
        <v>1</v>
      </c>
      <c r="F10" s="76">
        <v>60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42.75" customHeight="1" x14ac:dyDescent="0.3">
      <c r="A11" s="78" t="s">
        <v>177</v>
      </c>
      <c r="B11" s="76" t="s">
        <v>167</v>
      </c>
      <c r="C11" s="76" t="s">
        <v>178</v>
      </c>
      <c r="D11" s="76" t="s">
        <v>140</v>
      </c>
      <c r="E11" s="76" t="s">
        <v>140</v>
      </c>
      <c r="F11" s="76">
        <v>65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42.75" customHeight="1" x14ac:dyDescent="0.3">
      <c r="A12" s="79" t="s">
        <v>179</v>
      </c>
      <c r="B12" s="80" t="s">
        <v>180</v>
      </c>
      <c r="C12" s="80" t="s">
        <v>181</v>
      </c>
      <c r="D12" s="101" t="s">
        <v>182</v>
      </c>
      <c r="E12" s="90"/>
      <c r="F12" s="86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27" customHeight="1" x14ac:dyDescent="0.3">
      <c r="A13" s="107" t="s">
        <v>183</v>
      </c>
      <c r="B13" s="109" t="s">
        <v>184</v>
      </c>
      <c r="C13" s="109" t="s">
        <v>185</v>
      </c>
      <c r="D13" s="81" t="s">
        <v>186</v>
      </c>
      <c r="E13" s="102"/>
      <c r="F13" s="86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27" customHeight="1" x14ac:dyDescent="0.3">
      <c r="A14" s="108"/>
      <c r="B14" s="86"/>
      <c r="C14" s="86"/>
      <c r="D14" s="82" t="s">
        <v>187</v>
      </c>
      <c r="E14" s="102"/>
      <c r="F14" s="86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D12:F12"/>
    <mergeCell ref="E13:F13"/>
    <mergeCell ref="A1:F1"/>
    <mergeCell ref="A2:F2"/>
    <mergeCell ref="B3:C3"/>
    <mergeCell ref="D3:F3"/>
    <mergeCell ref="A13:A14"/>
    <mergeCell ref="B13:B14"/>
    <mergeCell ref="C13:C14"/>
    <mergeCell ref="E14:F14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workbookViewId="0"/>
  </sheetViews>
  <sheetFormatPr defaultColWidth="12.6328125" defaultRowHeight="15" customHeight="1" x14ac:dyDescent="0.25"/>
  <cols>
    <col min="7" max="26" width="14.36328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NEVER SKIP DETAILS </vt:lpstr>
      <vt:lpstr>XI B (100)</vt:lpstr>
      <vt:lpstr>XI B ANALYSIS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sangeetha martin</cp:lastModifiedBy>
  <dcterms:modified xsi:type="dcterms:W3CDTF">2026-03-23T16:08:42Z</dcterms:modified>
</cp:coreProperties>
</file>